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zil Accounts Enriched" sheetId="1" state="visible" r:id="rId3"/>
    <sheet name="Summary" sheetId="2" state="visible" r:id="rId4"/>
  </sheets>
  <definedNames>
    <definedName function="false" hidden="true" localSheetId="0" name="_xlnm._FilterDatabase" vbProcedure="false">'Brazil Accounts Enriched'!$A$1:$T$45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<sst xmlns="http://schemas.openxmlformats.org/spreadsheetml/2006/main" count="786" uniqueCount="314">
  <si>
    <t xml:space="preserve">Record Type</t>
  </si>
  <si>
    <t xml:space="preserve">Source Type</t>
  </si>
  <si>
    <t xml:space="preserve">Source Reference</t>
  </si>
  <si>
    <t xml:space="preserve">Account Name</t>
  </si>
  <si>
    <t xml:space="preserve">Title</t>
  </si>
  <si>
    <t xml:space="preserve">Street Address</t>
  </si>
  <si>
    <t xml:space="preserve">City</t>
  </si>
  <si>
    <t xml:space="preserve">State</t>
  </si>
  <si>
    <t xml:space="preserve">Country</t>
  </si>
  <si>
    <t xml:space="preserve">Postcode</t>
  </si>
  <si>
    <t xml:space="preserve">Category</t>
  </si>
  <si>
    <t xml:space="preserve">Client Type</t>
  </si>
  <si>
    <t xml:space="preserve">Account Owner</t>
  </si>
  <si>
    <t xml:space="preserve">Created (CY)</t>
  </si>
  <si>
    <t xml:space="preserve">Status</t>
  </si>
  <si>
    <t xml:space="preserve"># Open Opps</t>
  </si>
  <si>
    <t xml:space="preserve">Latitude</t>
  </si>
  <si>
    <t xml:space="preserve">Longitude</t>
  </si>
  <si>
    <t xml:space="preserve">Enrichment Confidence</t>
  </si>
  <si>
    <t xml:space="preserve">Enrichment Note</t>
  </si>
  <si>
    <t xml:space="preserve">Account</t>
  </si>
  <si>
    <t xml:space="preserve">Salesforce Export</t>
  </si>
  <si>
    <t xml:space="preserve">SF-BR-001</t>
  </si>
  <si>
    <t xml:space="preserve">Schroder Investment Management Brasil</t>
  </si>
  <si>
    <t xml:space="preserve">Schroder Investment Management Brasil DTVM S.A. — São Paulo office</t>
  </si>
  <si>
    <t xml:space="preserve">Av. Presidente Juscelino Kubitschek 1327, International Plaza II, Itaim Bibi</t>
  </si>
  <si>
    <t xml:space="preserve">São Paulo</t>
  </si>
  <si>
    <t xml:space="preserve">SP</t>
  </si>
  <si>
    <t xml:space="preserve">Brazil</t>
  </si>
  <si>
    <t xml:space="preserve">04543-011</t>
  </si>
  <si>
    <t xml:space="preserve">Distributor</t>
  </si>
  <si>
    <t xml:space="preserve">Cameron Sell</t>
  </si>
  <si>
    <t xml:space="preserve">CY2020</t>
  </si>
  <si>
    <t xml:space="preserve">Live</t>
  </si>
  <si>
    <t xml:space="preserve">High</t>
  </si>
  <si>
    <t xml:space="preserve">Google Places verified; Itaim Bibi / Faria Lima financial district</t>
  </si>
  <si>
    <t xml:space="preserve">SF-BR-002</t>
  </si>
  <si>
    <t xml:space="preserve">Bradesco</t>
  </si>
  <si>
    <t xml:space="preserve">Banco Bradesco S.A. — Cidade de Deus HQ</t>
  </si>
  <si>
    <t xml:space="preserve">Núcleo Cidade de Deus, s/n, Vila Yara</t>
  </si>
  <si>
    <t xml:space="preserve">Osasco</t>
  </si>
  <si>
    <t xml:space="preserve">06029-900</t>
  </si>
  <si>
    <t xml:space="preserve">CY2013</t>
  </si>
  <si>
    <t xml:space="preserve">Prospect</t>
  </si>
  <si>
    <t xml:space="preserve">Bradesco's main campus, incl. Bradesco Custódia. Osasco, Greater São Paulo</t>
  </si>
  <si>
    <t xml:space="preserve">SF-BR-003</t>
  </si>
  <si>
    <t xml:space="preserve">HSBC Bank Brazil S.A.</t>
  </si>
  <si>
    <t xml:space="preserve">HSBC Bank Brasil — legacy entity</t>
  </si>
  <si>
    <t xml:space="preserve">Retail ops acquired by Bradesco (2016); remaining presence Av. Brig. Faria Lima, Itaim Bibi</t>
  </si>
  <si>
    <t xml:space="preserve">04538-132</t>
  </si>
  <si>
    <t xml:space="preserve">Low</t>
  </si>
  <si>
    <t xml:space="preserve">Legacy record — HSBC Brasil retail sold to Bradesco 2016. Address indicative only; verify before use</t>
  </si>
  <si>
    <t xml:space="preserve">SF-BR-004</t>
  </si>
  <si>
    <t xml:space="preserve">Julius Baer Family Office</t>
  </si>
  <si>
    <t xml:space="preserve">Julius Baer Family Office / GPS Investimentos — São Paulo</t>
  </si>
  <si>
    <t xml:space="preserve">Av. Brigadeiro Faria Lima 4285, 10th &amp; 11th floors, Itaim Bibi</t>
  </si>
  <si>
    <t xml:space="preserve">04538-133</t>
  </si>
  <si>
    <t xml:space="preserve">Fund Manager</t>
  </si>
  <si>
    <t xml:space="preserve">Danielle Tetteh</t>
  </si>
  <si>
    <t xml:space="preserve">CY2022</t>
  </si>
  <si>
    <t xml:space="preserve">Julius Baer's Brazil family-office arm (GPS Investimentos). Google Places verified</t>
  </si>
  <si>
    <t xml:space="preserve">SF-BR-005</t>
  </si>
  <si>
    <t xml:space="preserve">BB Unit Trust Ireland (Banco De Brazil)</t>
  </si>
  <si>
    <t xml:space="preserve">BB Unit Trust — Irish-domiciled vehicle of Banco do Brasil</t>
  </si>
  <si>
    <t xml:space="preserve">Registered in Dublin, Ireland; parent HQ SBS Q.1 Bl. G, Ed. Sede III, Asa Sul</t>
  </si>
  <si>
    <t xml:space="preserve">Brasília</t>
  </si>
  <si>
    <t xml:space="preserve">DF</t>
  </si>
  <si>
    <t xml:space="preserve">70073-901</t>
  </si>
  <si>
    <t xml:space="preserve">CY2019</t>
  </si>
  <si>
    <t xml:space="preserve">Disabled</t>
  </si>
  <si>
    <t xml:space="preserve">Entity is Ireland-domiciled despite Brazil country tag. Coordinates = Banco do Brasil HQ (parent)</t>
  </si>
  <si>
    <t xml:space="preserve">SF-BR-006</t>
  </si>
  <si>
    <t xml:space="preserve">Rio Bravo</t>
  </si>
  <si>
    <t xml:space="preserve">Rio Bravo Investimentos — São Paulo HQ</t>
  </si>
  <si>
    <t xml:space="preserve">Av. Chedid Jafet 222, Bloco B, Cj. 32, Vila Olímpia</t>
  </si>
  <si>
    <t xml:space="preserve">04551-065</t>
  </si>
  <si>
    <t xml:space="preserve">EMS Integration</t>
  </si>
  <si>
    <t xml:space="preserve">CY2016</t>
  </si>
  <si>
    <t xml:space="preserve">Google Places verified</t>
  </si>
  <si>
    <t xml:space="preserve">SF-BR-007</t>
  </si>
  <si>
    <t xml:space="preserve">Aberdeen do Brasil</t>
  </si>
  <si>
    <t xml:space="preserve">abrdn (Aberdeen) do Brasil — São Paulo office</t>
  </si>
  <si>
    <t xml:space="preserve">Av. Presidente Juscelino Kubitschek 1327, International Plaza II, Cj. 71, Itaim Bibi</t>
  </si>
  <si>
    <t xml:space="preserve">CY2014</t>
  </si>
  <si>
    <t xml:space="preserve">Same building as Schroders Brasil. Group rebranded to abrdn</t>
  </si>
  <si>
    <t xml:space="preserve">SF-BR-008</t>
  </si>
  <si>
    <t xml:space="preserve">BTGPactual</t>
  </si>
  <si>
    <t xml:space="preserve">Banco BTG Pactual S.A. — São Paulo</t>
  </si>
  <si>
    <t xml:space="preserve">Av. Brigadeiro Faria Lima 3477, 14th floor, Itaim Bibi</t>
  </si>
  <si>
    <t xml:space="preserve">Bank; Distributor</t>
  </si>
  <si>
    <t xml:space="preserve">Duplicate cluster: see 'BTG Pactual' and 'BTG Pactual Brazil'</t>
  </si>
  <si>
    <t xml:space="preserve">SF-BR-009</t>
  </si>
  <si>
    <t xml:space="preserve">Intrag</t>
  </si>
  <si>
    <t xml:space="preserve">Intrag DTVM Ltda. (Itaú Unibanco fund admin arm)</t>
  </si>
  <si>
    <t xml:space="preserve">Praça Alfredo Egydio de Souza Aranha 100, Torre Olavo Setubal, Parque Jabaquara</t>
  </si>
  <si>
    <t xml:space="preserve">04344-902</t>
  </si>
  <si>
    <t xml:space="preserve">Medium</t>
  </si>
  <si>
    <t xml:space="preserve">Intrag is Itaú's DTVM; coordinates = Itaú Unibanco Jabaquara HQ complex</t>
  </si>
  <si>
    <t xml:space="preserve">SF-BR-010</t>
  </si>
  <si>
    <t xml:space="preserve">BNY Mellon Servicos DTVM</t>
  </si>
  <si>
    <t xml:space="preserve">BNY Mellon Serviços Financeiros DTVM S.A. — Rio de Janeiro</t>
  </si>
  <si>
    <t xml:space="preserve">Av. República do Chile 330, Centro</t>
  </si>
  <si>
    <t xml:space="preserve">Rio de Janeiro</t>
  </si>
  <si>
    <t xml:space="preserve">RJ</t>
  </si>
  <si>
    <t xml:space="preserve">20031-170</t>
  </si>
  <si>
    <t xml:space="preserve">Torre Oeste, Ventura Corporate Towers. Highest open-opp count in dataset</t>
  </si>
  <si>
    <t xml:space="preserve">SF-BR-011</t>
  </si>
  <si>
    <t xml:space="preserve">Banco Santander (Brazil)</t>
  </si>
  <si>
    <t xml:space="preserve">Banco Santander (Brasil) S.A. — Santander JK HQ</t>
  </si>
  <si>
    <t xml:space="preserve">Av. Presidente Juscelino Kubitschek 2041/2235, Itaim Bibi</t>
  </si>
  <si>
    <t xml:space="preserve">Santander Brasil HQ, Torre Santander (Vila Olímpia/Itaim border)</t>
  </si>
  <si>
    <t xml:space="preserve">SF-BR-012</t>
  </si>
  <si>
    <t xml:space="preserve">BEM</t>
  </si>
  <si>
    <t xml:space="preserve">BEM DTVM Ltda. (Bradesco fund administrator)</t>
  </si>
  <si>
    <t xml:space="preserve">Núcleo Cidade de Deus, s/n, Prédio Prata, 4º andar, Vila Yara</t>
  </si>
  <si>
    <t xml:space="preserve">BEM DTVM is Bradesco's fund admin entity, co-located at Cidade de Deus</t>
  </si>
  <si>
    <t xml:space="preserve">SF-BR-013</t>
  </si>
  <si>
    <t xml:space="preserve">Caixa</t>
  </si>
  <si>
    <t xml:space="preserve">Caixa Econômica Federal — Brasília HQ</t>
  </si>
  <si>
    <t xml:space="preserve">SBS Quadra 4, Lotes 3/4, Ed. Matriz I, Asa Sul</t>
  </si>
  <si>
    <t xml:space="preserve">70092-900</t>
  </si>
  <si>
    <t xml:space="preserve">State-owned bank; Matriz I &amp; II both in SBS/SAUS Asa Sul</t>
  </si>
  <si>
    <t xml:space="preserve">SF-BR-014</t>
  </si>
  <si>
    <t xml:space="preserve">Itaú Unibanco</t>
  </si>
  <si>
    <t xml:space="preserve">Itaú Unibanco Holding S.A. — Centro Empresarial Itaú (Jabaquara)</t>
  </si>
  <si>
    <t xml:space="preserve">Registered HQ per LEI 5493002W2IVG62O3ZJ94. Front-office at Faria Lima 3500</t>
  </si>
  <si>
    <t xml:space="preserve">SF-BR-015</t>
  </si>
  <si>
    <t xml:space="preserve">BB DTVM</t>
  </si>
  <si>
    <t xml:space="preserve">BB Gestão de Recursos DTVM S.A. — Rio de Janeiro</t>
  </si>
  <si>
    <t xml:space="preserve">Praça XV de Novembro 20, 2º/3º andares, Centro</t>
  </si>
  <si>
    <t xml:space="preserve">20010-010</t>
  </si>
  <si>
    <t xml:space="preserve">BB DTVM is Brazil's largest asset manager; operationally Rio, parent HQ Brasília</t>
  </si>
  <si>
    <t xml:space="preserve">SF-BR-016</t>
  </si>
  <si>
    <t xml:space="preserve">BB (Banco De Brazil) Dealing Desk</t>
  </si>
  <si>
    <t xml:space="preserve">Banco do Brasil — Dealing Desk, Brasília HQ</t>
  </si>
  <si>
    <t xml:space="preserve">SBS Quadra 1, Bloco G, Lote 32, Ed. Sede III, Asa Sul</t>
  </si>
  <si>
    <t xml:space="preserve">Neil Marns</t>
  </si>
  <si>
    <t xml:space="preserve">Google Places verified (Banco do Brasil Headquarters III)</t>
  </si>
  <si>
    <t xml:space="preserve">SF-BR-017</t>
  </si>
  <si>
    <t xml:space="preserve">BTG Pactual Brazil</t>
  </si>
  <si>
    <t xml:space="preserve">Nelson Pereira</t>
  </si>
  <si>
    <t xml:space="preserve">CY2025</t>
  </si>
  <si>
    <t xml:space="preserve">Registered HQ is Praia de Botafogo 501, Rio; São Paulo is principal commercial office</t>
  </si>
  <si>
    <t xml:space="preserve">SF-BR-018</t>
  </si>
  <si>
    <t xml:space="preserve">BNP Paribas Asset Management Brazil</t>
  </si>
  <si>
    <t xml:space="preserve">BNP Paribas Asset Management Brasil — Torre Sul</t>
  </si>
  <si>
    <t xml:space="preserve">Av. Presidente Juscelino Kubitschek 1909, Torre Sul, 10º andar, Vila Olímpia</t>
  </si>
  <si>
    <t xml:space="preserve">04543-907</t>
  </si>
  <si>
    <t xml:space="preserve">Co-located with Banco BNP Paribas Brasil (see duplicate)</t>
  </si>
  <si>
    <t xml:space="preserve">SF-BR-019</t>
  </si>
  <si>
    <t xml:space="preserve">Planner</t>
  </si>
  <si>
    <t xml:space="preserve">Planner Corretora de Valores / Planner Trustee DTVM — São Paulo</t>
  </si>
  <si>
    <t xml:space="preserve">Av. Brigadeiro Faria Lima 3900, 10º andar, Itaim Bibi</t>
  </si>
  <si>
    <t xml:space="preserve">Third-Party Administrator</t>
  </si>
  <si>
    <t xml:space="preserve">In Discussions</t>
  </si>
  <si>
    <t xml:space="preserve">Google Places verified. Independent TPA/fund administrator</t>
  </si>
  <si>
    <t xml:space="preserve">SF-BR-020</t>
  </si>
  <si>
    <t xml:space="preserve">Jive</t>
  </si>
  <si>
    <t xml:space="preserve">Jive Mauá (Jive Investments) — São Paulo</t>
  </si>
  <si>
    <t xml:space="preserve">Av. Brigadeiro Faria Lima 1485, 18º andar, Torre Norte, Pinheiros</t>
  </si>
  <si>
    <t xml:space="preserve">01452-002</t>
  </si>
  <si>
    <t xml:space="preserve">Fund of Fund Dealing Desk</t>
  </si>
  <si>
    <t xml:space="preserve">CY2024</t>
  </si>
  <si>
    <t xml:space="preserve">Merged with Mauá Capital (2023) to form Jive Mauá</t>
  </si>
  <si>
    <t xml:space="preserve">SF-BR-021</t>
  </si>
  <si>
    <t xml:space="preserve">Banco BBM</t>
  </si>
  <si>
    <t xml:space="preserve">Banco BOCOM BBM S.A. — Rio de Janeiro</t>
  </si>
  <si>
    <t xml:space="preserve">Av. Barão de Tefé 34, 21º andar, Saúde</t>
  </si>
  <si>
    <t xml:space="preserve">20220-460</t>
  </si>
  <si>
    <t xml:space="preserve">Majority-owned by Bank of Communications (China) since 2016. Founded Salvador, BA</t>
  </si>
  <si>
    <t xml:space="preserve">SF-BR-022</t>
  </si>
  <si>
    <t xml:space="preserve">Portofino</t>
  </si>
  <si>
    <t xml:space="preserve">Portofino Multi Family Office — São Paulo</t>
  </si>
  <si>
    <t xml:space="preserve">R. Leopoldo Couto de Magalhães Júnior 758, 11º andar, Itaim Bibi</t>
  </si>
  <si>
    <t xml:space="preserve">04542-000</t>
  </si>
  <si>
    <t xml:space="preserve">Google Places verified. Multi-family office / wealth manager</t>
  </si>
  <si>
    <t xml:space="preserve">SF-BR-023</t>
  </si>
  <si>
    <t xml:space="preserve">Novo Futura</t>
  </si>
  <si>
    <t xml:space="preserve">Nova Futura Investimentos — São Paulo</t>
  </si>
  <si>
    <t xml:space="preserve">Alameda Santos 960, 10º andar, Bela Vista</t>
  </si>
  <si>
    <t xml:space="preserve">01418-002</t>
  </si>
  <si>
    <t xml:space="preserve">Salesforce name 'Novo Futura' — correct legal name is Nova Futura Investimentos. Recommend correcting in CRM</t>
  </si>
  <si>
    <t xml:space="preserve">SF-BR-024</t>
  </si>
  <si>
    <t xml:space="preserve">C6</t>
  </si>
  <si>
    <t xml:space="preserve">C6 Bank (Banco C6 S.A.) — São Paulo</t>
  </si>
  <si>
    <t xml:space="preserve">Av. Nove de Julho 3186, Jardim Paulista</t>
  </si>
  <si>
    <t xml:space="preserve">01406-000</t>
  </si>
  <si>
    <t xml:space="preserve">CY2023</t>
  </si>
  <si>
    <t xml:space="preserve">Digital bank; JPMorgan Chase holds ~46% stake</t>
  </si>
  <si>
    <t xml:space="preserve">SF-BR-025</t>
  </si>
  <si>
    <t xml:space="preserve">UBS</t>
  </si>
  <si>
    <t xml:space="preserve">UBS Group / UBS BB Brasil — São Paulo</t>
  </si>
  <si>
    <t xml:space="preserve">Av. Brigadeiro Faria Lima 4440, 7º &amp; 9º andares, Itaim Bibi</t>
  </si>
  <si>
    <t xml:space="preserve">Bank; Distributor; Fund Accountant; Fund Manager; TPA</t>
  </si>
  <si>
    <t xml:space="preserve">Bank; Distributor; Fund Accountant; Fund Manager; Third-Party Administrator</t>
  </si>
  <si>
    <t xml:space="preserve">Google Places verified. UBS BB JV with Banco do Brasil (UBS bought out BB stake 2025)</t>
  </si>
  <si>
    <t xml:space="preserve">SF-BR-026</t>
  </si>
  <si>
    <t xml:space="preserve">XP</t>
  </si>
  <si>
    <t xml:space="preserve">XP Inc. / XP Investimentos — Rio de Janeiro (Leblon)</t>
  </si>
  <si>
    <t xml:space="preserve">Av. Ataulfo de Paiva 153, Leblon</t>
  </si>
  <si>
    <t xml:space="preserve">22440-032</t>
  </si>
  <si>
    <t xml:space="preserve">Bank; Distributor; Fund Accountant; Fund Manager; FoF Dealing Desk</t>
  </si>
  <si>
    <t xml:space="preserve">Bank; Distributor; Fund Accountant; Fund Manager; Fund of Fund Dealing Desk</t>
  </si>
  <si>
    <t xml:space="preserve">Founded Porto Alegre; Rio (Leblon) is registered HQ. Major SP office at Faria Lima 3600</t>
  </si>
  <si>
    <t xml:space="preserve">SF-BR-027</t>
  </si>
  <si>
    <t xml:space="preserve">Orama</t>
  </si>
  <si>
    <t xml:space="preserve">Órama Investimentos DTVM — Rio de Janeiro</t>
  </si>
  <si>
    <t xml:space="preserve">R. Lopes Quintas 177, Jardim Botânico</t>
  </si>
  <si>
    <t xml:space="preserve">22460-010</t>
  </si>
  <si>
    <t xml:space="preserve">Google Places verified. Owned by Grupo Globo</t>
  </si>
  <si>
    <t xml:space="preserve">SF-BR-028</t>
  </si>
  <si>
    <t xml:space="preserve">Lombard Odier (Brazil)</t>
  </si>
  <si>
    <t xml:space="preserve">Banque Lombard Odier — São Paulo representative office</t>
  </si>
  <si>
    <t xml:space="preserve">Av. Nove de Julho 3624, Torre DGN 360, 6º andar, Jardim Paulista</t>
  </si>
  <si>
    <t xml:space="preserve">Google Places verified. Swiss private bank, Brazil rep office</t>
  </si>
  <si>
    <t xml:space="preserve">SF-BR-029</t>
  </si>
  <si>
    <t xml:space="preserve">Compass Group (Brazil)</t>
  </si>
  <si>
    <t xml:space="preserve">Vinci Compass (formerly Compass Group Brasil) — São Paulo</t>
  </si>
  <si>
    <t xml:space="preserve">Av. Brigadeiro Faria Lima 3555, 11º andar, Itaim Bibi</t>
  </si>
  <si>
    <t xml:space="preserve">Compass Group merged with Vinci Partners (2024) → Vinci Compass. Recommend renaming in CRM</t>
  </si>
  <si>
    <t xml:space="preserve">SF-BR-030</t>
  </si>
  <si>
    <t xml:space="preserve">BRITech</t>
  </si>
  <si>
    <t xml:space="preserve">BRITech Brasil — São Paulo</t>
  </si>
  <si>
    <t xml:space="preserve">Av. das Nações Unidas 14261, 5º andar, Sala 501A, Vila Gertrudes</t>
  </si>
  <si>
    <t xml:space="preserve">04794-000</t>
  </si>
  <si>
    <t xml:space="preserve">Software Vendor</t>
  </si>
  <si>
    <t xml:space="preserve">Google Places verified. WealthTech / portfolio-management software vendor</t>
  </si>
  <si>
    <t xml:space="preserve">SF-BR-031</t>
  </si>
  <si>
    <t xml:space="preserve">Nubank</t>
  </si>
  <si>
    <t xml:space="preserve">Nu Holdings / Nu Pagamentos S.A. — São Paulo HQ</t>
  </si>
  <si>
    <t xml:space="preserve">R. Capote Valente 39, Pinheiros</t>
  </si>
  <si>
    <t xml:space="preserve">05409-000</t>
  </si>
  <si>
    <t xml:space="preserve">Google Places verified. NYSE-listed; also operates Spy Building, Av. Rebouças</t>
  </si>
  <si>
    <t xml:space="preserve">SF-BR-032</t>
  </si>
  <si>
    <t xml:space="preserve">Apex Group (Brazil)</t>
  </si>
  <si>
    <t xml:space="preserve">Apex Group Ltd. — São Paulo office</t>
  </si>
  <si>
    <t xml:space="preserve">R. Alves Guimarães 1212, Pinheiros</t>
  </si>
  <si>
    <t xml:space="preserve">05410-002</t>
  </si>
  <si>
    <t xml:space="preserve">Global fund administrator; Brazil office via acquisitions. Category likely mis-tagged (Fund Admin, not Fund Manager)</t>
  </si>
  <si>
    <t xml:space="preserve">SF-BR-033</t>
  </si>
  <si>
    <t xml:space="preserve">Banco Modal</t>
  </si>
  <si>
    <t xml:space="preserve">Banco Modal S.A. — Rio de Janeiro</t>
  </si>
  <si>
    <t xml:space="preserve">Praia de Botafogo 501, Torre Pão de Açúcar, Botafogo</t>
  </si>
  <si>
    <t xml:space="preserve">22250-040</t>
  </si>
  <si>
    <t xml:space="preserve">Acquired by XP Inc. (2022/23), now Banco XP. Recommend CRM merge with XP record</t>
  </si>
  <si>
    <t xml:space="preserve">SF-BR-034</t>
  </si>
  <si>
    <t xml:space="preserve">Banco BNP Paribas Brasil</t>
  </si>
  <si>
    <t xml:space="preserve">Banco BNP Paribas Brasil S.A. — Torre Sul</t>
  </si>
  <si>
    <t xml:space="preserve">Duplicate of 'BNP Paribas Asset Management Brazil' — same address</t>
  </si>
  <si>
    <t xml:space="preserve">SF-BR-035</t>
  </si>
  <si>
    <t xml:space="preserve">J. Safra Asset Management Corporation</t>
  </si>
  <si>
    <t xml:space="preserve">J. Safra Asset Management — Edifício J. Safra, Av. Paulista</t>
  </si>
  <si>
    <t xml:space="preserve">Av. Paulista 2150, Cerqueira César / Bela Vista</t>
  </si>
  <si>
    <t xml:space="preserve">01310-930</t>
  </si>
  <si>
    <t xml:space="preserve">Same building as Banco Safra (see duplicate)</t>
  </si>
  <si>
    <t xml:space="preserve">SF-BR-036</t>
  </si>
  <si>
    <t xml:space="preserve">Banco Safra</t>
  </si>
  <si>
    <t xml:space="preserve">Banco Safra S.A. — Edifício J. Safra, Av. Paulista</t>
  </si>
  <si>
    <t xml:space="preserve">Google Places verified. Duplicate cluster with J. Safra Asset Management</t>
  </si>
  <si>
    <t xml:space="preserve">SF-BR-037</t>
  </si>
  <si>
    <t xml:space="preserve">Vórtx</t>
  </si>
  <si>
    <t xml:space="preserve">Vórtx DTVM Ltda. — São Paulo</t>
  </si>
  <si>
    <t xml:space="preserve">R. Gilberto Sabino 215, 4º andar, Pinheiros</t>
  </si>
  <si>
    <t xml:space="preserve">05425-020</t>
  </si>
  <si>
    <t xml:space="preserve">Google Places verified. Independent fiduciary / DTVM &amp; trustee</t>
  </si>
  <si>
    <t xml:space="preserve">SF-BR-038</t>
  </si>
  <si>
    <t xml:space="preserve">Banco Votorantim</t>
  </si>
  <si>
    <t xml:space="preserve">Banco BV (formerly Banco Votorantim) — São Paulo</t>
  </si>
  <si>
    <t xml:space="preserve">Av. das Nações Unidas 14171, Torre A, Vila Gertrudes</t>
  </si>
  <si>
    <t xml:space="preserve">Rebranded to 'Banco BV' in 2019. Recommend renaming in CRM</t>
  </si>
  <si>
    <t xml:space="preserve">SF-BR-039</t>
  </si>
  <si>
    <t xml:space="preserve">Banco do Brasil</t>
  </si>
  <si>
    <t xml:space="preserve">Banco do Brasil S.A. — Brasília HQ (Sede III)</t>
  </si>
  <si>
    <t xml:space="preserve">Bank; Fund Manager</t>
  </si>
  <si>
    <t xml:space="preserve">Google Places verified. Duplicate cluster with 'BB DTVM' and 'BB Dealing Desk'</t>
  </si>
  <si>
    <t xml:space="preserve">SF-BR-040</t>
  </si>
  <si>
    <t xml:space="preserve">Itaú Asset Management</t>
  </si>
  <si>
    <t xml:space="preserve">Itaú Asset Management — Centro Empresarial Itaú BBA, Faria Lima</t>
  </si>
  <si>
    <t xml:space="preserve">Av. Brigadeiro Faria Lima 3500, Itaim Bibi</t>
  </si>
  <si>
    <t xml:space="preserve">Google Places verified. Front-office AM arm; group HQ at Jabaquara</t>
  </si>
  <si>
    <t xml:space="preserve">SF-BR-041</t>
  </si>
  <si>
    <t xml:space="preserve">Western Asset Management</t>
  </si>
  <si>
    <t xml:space="preserve">Western Asset Management Company DTVM — São Paulo</t>
  </si>
  <si>
    <t xml:space="preserve">Av. Presidente Juscelino Kubitschek 1455, 15º andar, Vila Olímpia</t>
  </si>
  <si>
    <t xml:space="preserve">Distributor; Fund Manager</t>
  </si>
  <si>
    <t xml:space="preserve">CY2017</t>
  </si>
  <si>
    <t xml:space="preserve">Google Places verified. Now part of Franklin Templeton</t>
  </si>
  <si>
    <t xml:space="preserve">SF-BR-042</t>
  </si>
  <si>
    <t xml:space="preserve">BTG Pactual</t>
  </si>
  <si>
    <t xml:space="preserve">Banco BTG Pactual S.A. — registered HQ, Rio de Janeiro</t>
  </si>
  <si>
    <t xml:space="preserve">Praia de Botafogo 501, 5º/6º andares, Torre Corcovado, Botafogo</t>
  </si>
  <si>
    <t xml:space="preserve">Orlando Koh</t>
  </si>
  <si>
    <t xml:space="preserve">CY2021</t>
  </si>
  <si>
    <t xml:space="preserve">Registered HQ (Rio). Duplicate of 'BTGPactual' and 'BTG Pactual Brazil'</t>
  </si>
  <si>
    <t xml:space="preserve">SF-BR-043</t>
  </si>
  <si>
    <t xml:space="preserve">J.P. Morgan Asset Management Brazil</t>
  </si>
  <si>
    <t xml:space="preserve">Banco J.P. Morgan S.A. — São Paulo</t>
  </si>
  <si>
    <t xml:space="preserve">Av. Brigadeiro Faria Lima 3729, 6º/10º–15º andares, Itaim Bibi</t>
  </si>
  <si>
    <t xml:space="preserve">04538-905</t>
  </si>
  <si>
    <t xml:space="preserve">William Brennan</t>
  </si>
  <si>
    <t xml:space="preserve">Verified via jpmorgan.com.br. CNPJ 33.172.537/0001-98</t>
  </si>
  <si>
    <t xml:space="preserve">SF-BR-044</t>
  </si>
  <si>
    <t xml:space="preserve">Mirae Asset Management (Brazil)</t>
  </si>
  <si>
    <t xml:space="preserve">Mirae Asset Wealth Management (Brazil) CCTVM — São Paulo</t>
  </si>
  <si>
    <t xml:space="preserve">Av. Brigadeiro Faria Lima 3900, 4º andar, Itaim Bibi</t>
  </si>
  <si>
    <t xml:space="preserve">Google Places verified. Same building as Planner</t>
  </si>
  <si>
    <t xml:space="preserve">Brazil Account Base — Summary</t>
  </si>
  <si>
    <t xml:space="preserve">Source: Salesforce export 'All Brazil Accounts', 2026-07-09 12:31:43 GMT. Enrichment: Google Places + public corporate filings, 2026-07-09.</t>
  </si>
  <si>
    <t xml:space="preserve">Total accounts</t>
  </si>
  <si>
    <t xml:space="preserve">Total open opportunities</t>
  </si>
  <si>
    <t xml:space="preserve">By status</t>
  </si>
  <si>
    <t xml:space="preserve">By city</t>
  </si>
  <si>
    <t xml:space="preserve">Osasco (Greater SP)</t>
  </si>
  <si>
    <t xml:space="preserve">Enrichment confidence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</si>
</sst>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58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34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9" min="17" style="0" width="12"/>
    <col collapsed="false" customWidth="true" hidden="false" outlineLevel="0" max="20" min="20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3.8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s">
        <v>24</v>
      </c>
      <c r="F2" s="3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31</v>
      </c>
      <c r="N2" s="2" t="s">
        <v>32</v>
      </c>
      <c r="O2" s="2" t="s">
        <v>33</v>
      </c>
      <c r="P2" s="4" t="n">
        <v>0</v>
      </c>
      <c r="Q2" s="5" t="n">
        <v>-23.5913034</v>
      </c>
      <c r="R2" s="5" t="n">
        <v>-46.6822241</v>
      </c>
      <c r="S2" s="6" t="s">
        <v>34</v>
      </c>
      <c r="T2" s="3" t="s">
        <v>35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36</v>
      </c>
      <c r="D3" s="2" t="s">
        <v>37</v>
      </c>
      <c r="E3" s="3" t="s">
        <v>38</v>
      </c>
      <c r="F3" s="3" t="s">
        <v>39</v>
      </c>
      <c r="G3" s="2" t="s">
        <v>40</v>
      </c>
      <c r="H3" s="2" t="s">
        <v>27</v>
      </c>
      <c r="I3" s="2" t="s">
        <v>28</v>
      </c>
      <c r="J3" s="2" t="s">
        <v>41</v>
      </c>
      <c r="K3" s="2" t="s">
        <v>30</v>
      </c>
      <c r="L3" s="2" t="s">
        <v>30</v>
      </c>
      <c r="M3" s="2" t="s">
        <v>31</v>
      </c>
      <c r="N3" s="2" t="s">
        <v>42</v>
      </c>
      <c r="O3" s="2" t="s">
        <v>43</v>
      </c>
      <c r="P3" s="4" t="n">
        <v>5</v>
      </c>
      <c r="Q3" s="5" t="n">
        <v>-23.5483646</v>
      </c>
      <c r="R3" s="5" t="n">
        <v>-46.7736215</v>
      </c>
      <c r="S3" s="6" t="s">
        <v>34</v>
      </c>
      <c r="T3" s="3" t="s">
        <v>44</v>
      </c>
    </row>
    <row r="4" customFormat="false" ht="23.85" hidden="false" customHeight="false" outlineLevel="0" collapsed="false">
      <c r="A4" s="2" t="s">
        <v>20</v>
      </c>
      <c r="B4" s="2" t="s">
        <v>21</v>
      </c>
      <c r="C4" s="2" t="s">
        <v>45</v>
      </c>
      <c r="D4" s="2" t="s">
        <v>46</v>
      </c>
      <c r="E4" s="3" t="s">
        <v>47</v>
      </c>
      <c r="F4" s="3" t="s">
        <v>48</v>
      </c>
      <c r="G4" s="2" t="s">
        <v>26</v>
      </c>
      <c r="H4" s="2" t="s">
        <v>27</v>
      </c>
      <c r="I4" s="2" t="s">
        <v>28</v>
      </c>
      <c r="J4" s="2" t="s">
        <v>49</v>
      </c>
      <c r="K4" s="2" t="s">
        <v>30</v>
      </c>
      <c r="L4" s="2" t="s">
        <v>30</v>
      </c>
      <c r="M4" s="2" t="s">
        <v>31</v>
      </c>
      <c r="N4" s="2" t="s">
        <v>42</v>
      </c>
      <c r="O4" s="2" t="s">
        <v>43</v>
      </c>
      <c r="P4" s="4" t="n">
        <v>0</v>
      </c>
      <c r="Q4" s="5" t="n">
        <v>-23.587</v>
      </c>
      <c r="R4" s="5" t="n">
        <v>-46.6825</v>
      </c>
      <c r="S4" s="7" t="s">
        <v>50</v>
      </c>
      <c r="T4" s="3" t="s">
        <v>51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52</v>
      </c>
      <c r="D5" s="2" t="s">
        <v>53</v>
      </c>
      <c r="E5" s="3" t="s">
        <v>54</v>
      </c>
      <c r="F5" s="3" t="s">
        <v>55</v>
      </c>
      <c r="G5" s="2" t="s">
        <v>26</v>
      </c>
      <c r="H5" s="2" t="s">
        <v>27</v>
      </c>
      <c r="I5" s="2" t="s">
        <v>28</v>
      </c>
      <c r="J5" s="2" t="s">
        <v>56</v>
      </c>
      <c r="K5" s="2" t="s">
        <v>57</v>
      </c>
      <c r="L5" s="2" t="s">
        <v>57</v>
      </c>
      <c r="M5" s="2" t="s">
        <v>58</v>
      </c>
      <c r="N5" s="2" t="s">
        <v>59</v>
      </c>
      <c r="O5" s="2" t="s">
        <v>43</v>
      </c>
      <c r="P5" s="4" t="n">
        <v>0</v>
      </c>
      <c r="Q5" s="5" t="n">
        <v>-23.5938841</v>
      </c>
      <c r="R5" s="5" t="n">
        <v>-46.6798891</v>
      </c>
      <c r="S5" s="6" t="s">
        <v>34</v>
      </c>
      <c r="T5" s="3" t="s">
        <v>60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61</v>
      </c>
      <c r="D6" s="2" t="s">
        <v>62</v>
      </c>
      <c r="E6" s="3" t="s">
        <v>63</v>
      </c>
      <c r="F6" s="3" t="s">
        <v>64</v>
      </c>
      <c r="G6" s="2" t="s">
        <v>65</v>
      </c>
      <c r="H6" s="2" t="s">
        <v>66</v>
      </c>
      <c r="I6" s="2" t="s">
        <v>28</v>
      </c>
      <c r="J6" s="2" t="s">
        <v>67</v>
      </c>
      <c r="K6" s="2" t="s">
        <v>57</v>
      </c>
      <c r="L6" s="2" t="s">
        <v>57</v>
      </c>
      <c r="M6" s="2" t="s">
        <v>58</v>
      </c>
      <c r="N6" s="2" t="s">
        <v>68</v>
      </c>
      <c r="O6" s="2" t="s">
        <v>69</v>
      </c>
      <c r="P6" s="4" t="n">
        <v>0</v>
      </c>
      <c r="Q6" s="5" t="n">
        <v>-15.7982182</v>
      </c>
      <c r="R6" s="5" t="n">
        <v>-47.8824458</v>
      </c>
      <c r="S6" s="7" t="s">
        <v>50</v>
      </c>
      <c r="T6" s="3" t="s">
        <v>70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71</v>
      </c>
      <c r="D7" s="2" t="s">
        <v>72</v>
      </c>
      <c r="E7" s="3" t="s">
        <v>73</v>
      </c>
      <c r="F7" s="3" t="s">
        <v>74</v>
      </c>
      <c r="G7" s="2" t="s">
        <v>26</v>
      </c>
      <c r="H7" s="2" t="s">
        <v>27</v>
      </c>
      <c r="I7" s="2" t="s">
        <v>28</v>
      </c>
      <c r="J7" s="2" t="s">
        <v>75</v>
      </c>
      <c r="K7" s="2" t="s">
        <v>30</v>
      </c>
      <c r="L7" s="2" t="s">
        <v>30</v>
      </c>
      <c r="M7" s="2" t="s">
        <v>76</v>
      </c>
      <c r="N7" s="2" t="s">
        <v>77</v>
      </c>
      <c r="O7" s="2" t="s">
        <v>69</v>
      </c>
      <c r="P7" s="4" t="n">
        <v>0</v>
      </c>
      <c r="Q7" s="5" t="n">
        <v>-23.5926215</v>
      </c>
      <c r="R7" s="5" t="n">
        <v>-46.6906926</v>
      </c>
      <c r="S7" s="6" t="s">
        <v>34</v>
      </c>
      <c r="T7" s="3" t="s">
        <v>78</v>
      </c>
    </row>
    <row r="8" customFormat="false" ht="23.85" hidden="false" customHeight="false" outlineLevel="0" collapsed="false">
      <c r="A8" s="2" t="s">
        <v>20</v>
      </c>
      <c r="B8" s="2" t="s">
        <v>21</v>
      </c>
      <c r="C8" s="2" t="s">
        <v>79</v>
      </c>
      <c r="D8" s="2" t="s">
        <v>80</v>
      </c>
      <c r="E8" s="3" t="s">
        <v>81</v>
      </c>
      <c r="F8" s="3" t="s">
        <v>82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57</v>
      </c>
      <c r="L8" s="2" t="s">
        <v>57</v>
      </c>
      <c r="M8" s="2" t="s">
        <v>76</v>
      </c>
      <c r="N8" s="2" t="s">
        <v>83</v>
      </c>
      <c r="O8" s="2" t="s">
        <v>43</v>
      </c>
      <c r="P8" s="4" t="n">
        <v>0</v>
      </c>
      <c r="Q8" s="5" t="n">
        <v>-23.5912891</v>
      </c>
      <c r="R8" s="5" t="n">
        <v>-46.6821625</v>
      </c>
      <c r="S8" s="6" t="s">
        <v>34</v>
      </c>
      <c r="T8" s="3" t="s">
        <v>84</v>
      </c>
    </row>
    <row r="9" customFormat="false" ht="15" hidden="false" customHeight="false" outlineLevel="0" collapsed="false">
      <c r="A9" s="2" t="s">
        <v>20</v>
      </c>
      <c r="B9" s="2" t="s">
        <v>21</v>
      </c>
      <c r="C9" s="2" t="s">
        <v>85</v>
      </c>
      <c r="D9" s="2" t="s">
        <v>86</v>
      </c>
      <c r="E9" s="3" t="s">
        <v>87</v>
      </c>
      <c r="F9" s="3" t="s">
        <v>88</v>
      </c>
      <c r="G9" s="2" t="s">
        <v>26</v>
      </c>
      <c r="H9" s="2" t="s">
        <v>27</v>
      </c>
      <c r="I9" s="2" t="s">
        <v>28</v>
      </c>
      <c r="J9" s="2" t="s">
        <v>56</v>
      </c>
      <c r="K9" s="2" t="s">
        <v>89</v>
      </c>
      <c r="L9" s="2" t="s">
        <v>89</v>
      </c>
      <c r="M9" s="2" t="s">
        <v>76</v>
      </c>
      <c r="N9" s="2" t="s">
        <v>83</v>
      </c>
      <c r="O9" s="2" t="s">
        <v>69</v>
      </c>
      <c r="P9" s="4" t="n">
        <v>0</v>
      </c>
      <c r="Q9" s="5" t="n">
        <v>-23.5870195</v>
      </c>
      <c r="R9" s="5" t="n">
        <v>-46.6818719</v>
      </c>
      <c r="S9" s="6" t="s">
        <v>34</v>
      </c>
      <c r="T9" s="3" t="s">
        <v>90</v>
      </c>
    </row>
    <row r="10" customFormat="false" ht="23.85" hidden="false" customHeight="false" outlineLevel="0" collapsed="false">
      <c r="A10" s="2" t="s">
        <v>20</v>
      </c>
      <c r="B10" s="2" t="s">
        <v>21</v>
      </c>
      <c r="C10" s="2" t="s">
        <v>91</v>
      </c>
      <c r="D10" s="2" t="s">
        <v>92</v>
      </c>
      <c r="E10" s="3" t="s">
        <v>93</v>
      </c>
      <c r="F10" s="3" t="s">
        <v>94</v>
      </c>
      <c r="G10" s="2" t="s">
        <v>26</v>
      </c>
      <c r="H10" s="2" t="s">
        <v>27</v>
      </c>
      <c r="I10" s="2" t="s">
        <v>28</v>
      </c>
      <c r="J10" s="2" t="s">
        <v>95</v>
      </c>
      <c r="K10" s="2" t="s">
        <v>30</v>
      </c>
      <c r="L10" s="2" t="s">
        <v>30</v>
      </c>
      <c r="M10" s="2" t="s">
        <v>76</v>
      </c>
      <c r="N10" s="2" t="s">
        <v>42</v>
      </c>
      <c r="O10" s="2" t="s">
        <v>43</v>
      </c>
      <c r="P10" s="4" t="n">
        <v>0</v>
      </c>
      <c r="Q10" s="5" t="n">
        <v>-23.6237</v>
      </c>
      <c r="R10" s="5" t="n">
        <v>-46.6417</v>
      </c>
      <c r="S10" s="8" t="s">
        <v>96</v>
      </c>
      <c r="T10" s="3" t="s">
        <v>97</v>
      </c>
    </row>
    <row r="11" customFormat="false" ht="15" hidden="false" customHeight="false" outlineLevel="0" collapsed="false">
      <c r="A11" s="2" t="s">
        <v>20</v>
      </c>
      <c r="B11" s="2" t="s">
        <v>21</v>
      </c>
      <c r="C11" s="2" t="s">
        <v>98</v>
      </c>
      <c r="D11" s="2" t="s">
        <v>99</v>
      </c>
      <c r="E11" s="3" t="s">
        <v>100</v>
      </c>
      <c r="F11" s="3" t="s">
        <v>101</v>
      </c>
      <c r="G11" s="2" t="s">
        <v>102</v>
      </c>
      <c r="H11" s="2" t="s">
        <v>103</v>
      </c>
      <c r="I11" s="2" t="s">
        <v>28</v>
      </c>
      <c r="J11" s="2" t="s">
        <v>104</v>
      </c>
      <c r="K11" s="2" t="s">
        <v>30</v>
      </c>
      <c r="L11" s="2" t="s">
        <v>30</v>
      </c>
      <c r="M11" s="2" t="s">
        <v>76</v>
      </c>
      <c r="N11" s="2" t="s">
        <v>42</v>
      </c>
      <c r="O11" s="2" t="s">
        <v>43</v>
      </c>
      <c r="P11" s="4" t="n">
        <v>15</v>
      </c>
      <c r="Q11" s="5" t="n">
        <v>-22.9091626</v>
      </c>
      <c r="R11" s="5" t="n">
        <v>-43.1815735</v>
      </c>
      <c r="S11" s="6" t="s">
        <v>34</v>
      </c>
      <c r="T11" s="3" t="s">
        <v>105</v>
      </c>
    </row>
    <row r="12" customFormat="false" ht="15" hidden="false" customHeight="false" outlineLevel="0" collapsed="false">
      <c r="A12" s="2" t="s">
        <v>20</v>
      </c>
      <c r="B12" s="2" t="s">
        <v>21</v>
      </c>
      <c r="C12" s="2" t="s">
        <v>106</v>
      </c>
      <c r="D12" s="2" t="s">
        <v>107</v>
      </c>
      <c r="E12" s="3" t="s">
        <v>108</v>
      </c>
      <c r="F12" s="3" t="s">
        <v>109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30</v>
      </c>
      <c r="M12" s="2" t="s">
        <v>76</v>
      </c>
      <c r="N12" s="2" t="s">
        <v>42</v>
      </c>
      <c r="O12" s="2" t="s">
        <v>43</v>
      </c>
      <c r="P12" s="4" t="n">
        <v>1</v>
      </c>
      <c r="Q12" s="5" t="n">
        <v>-23.5909087</v>
      </c>
      <c r="R12" s="5" t="n">
        <v>-46.6905858</v>
      </c>
      <c r="S12" s="6" t="s">
        <v>34</v>
      </c>
      <c r="T12" s="3" t="s">
        <v>110</v>
      </c>
    </row>
    <row r="13" customFormat="false" ht="15" hidden="false" customHeight="false" outlineLevel="0" collapsed="false">
      <c r="A13" s="2" t="s">
        <v>20</v>
      </c>
      <c r="B13" s="2" t="s">
        <v>21</v>
      </c>
      <c r="C13" s="2" t="s">
        <v>111</v>
      </c>
      <c r="D13" s="2" t="s">
        <v>112</v>
      </c>
      <c r="E13" s="3" t="s">
        <v>113</v>
      </c>
      <c r="F13" s="3" t="s">
        <v>114</v>
      </c>
      <c r="G13" s="2" t="s">
        <v>40</v>
      </c>
      <c r="H13" s="2" t="s">
        <v>27</v>
      </c>
      <c r="I13" s="2" t="s">
        <v>28</v>
      </c>
      <c r="J13" s="2" t="s">
        <v>41</v>
      </c>
      <c r="K13" s="2" t="s">
        <v>30</v>
      </c>
      <c r="L13" s="2" t="s">
        <v>30</v>
      </c>
      <c r="M13" s="2" t="s">
        <v>76</v>
      </c>
      <c r="N13" s="2" t="s">
        <v>42</v>
      </c>
      <c r="O13" s="2" t="s">
        <v>43</v>
      </c>
      <c r="P13" s="4" t="n">
        <v>0</v>
      </c>
      <c r="Q13" s="5" t="n">
        <v>-23.5483646</v>
      </c>
      <c r="R13" s="5" t="n">
        <v>-46.7736215</v>
      </c>
      <c r="S13" s="8" t="s">
        <v>96</v>
      </c>
      <c r="T13" s="3" t="s">
        <v>115</v>
      </c>
    </row>
    <row r="14" customFormat="false" ht="15" hidden="false" customHeight="false" outlineLevel="0" collapsed="false">
      <c r="A14" s="2" t="s">
        <v>20</v>
      </c>
      <c r="B14" s="2" t="s">
        <v>21</v>
      </c>
      <c r="C14" s="2" t="s">
        <v>116</v>
      </c>
      <c r="D14" s="2" t="s">
        <v>117</v>
      </c>
      <c r="E14" s="3" t="s">
        <v>118</v>
      </c>
      <c r="F14" s="3" t="s">
        <v>119</v>
      </c>
      <c r="G14" s="2" t="s">
        <v>65</v>
      </c>
      <c r="H14" s="2" t="s">
        <v>66</v>
      </c>
      <c r="I14" s="2" t="s">
        <v>28</v>
      </c>
      <c r="J14" s="2" t="s">
        <v>120</v>
      </c>
      <c r="K14" s="2" t="s">
        <v>30</v>
      </c>
      <c r="L14" s="2" t="s">
        <v>30</v>
      </c>
      <c r="M14" s="2" t="s">
        <v>76</v>
      </c>
      <c r="N14" s="2" t="s">
        <v>42</v>
      </c>
      <c r="O14" s="2" t="s">
        <v>43</v>
      </c>
      <c r="P14" s="4" t="n">
        <v>0</v>
      </c>
      <c r="Q14" s="5" t="n">
        <v>-15.8026648</v>
      </c>
      <c r="R14" s="5" t="n">
        <v>-47.8799889</v>
      </c>
      <c r="S14" s="8" t="s">
        <v>96</v>
      </c>
      <c r="T14" s="3" t="s">
        <v>121</v>
      </c>
    </row>
    <row r="15" customFormat="false" ht="23.85" hidden="false" customHeight="false" outlineLevel="0" collapsed="false">
      <c r="A15" s="2" t="s">
        <v>20</v>
      </c>
      <c r="B15" s="2" t="s">
        <v>21</v>
      </c>
      <c r="C15" s="2" t="s">
        <v>122</v>
      </c>
      <c r="D15" s="2" t="s">
        <v>123</v>
      </c>
      <c r="E15" s="3" t="s">
        <v>124</v>
      </c>
      <c r="F15" s="3" t="s">
        <v>94</v>
      </c>
      <c r="G15" s="2" t="s">
        <v>26</v>
      </c>
      <c r="H15" s="2" t="s">
        <v>27</v>
      </c>
      <c r="I15" s="2" t="s">
        <v>28</v>
      </c>
      <c r="J15" s="2" t="s">
        <v>95</v>
      </c>
      <c r="K15" s="2" t="s">
        <v>30</v>
      </c>
      <c r="L15" s="2" t="s">
        <v>30</v>
      </c>
      <c r="M15" s="2" t="s">
        <v>76</v>
      </c>
      <c r="N15" s="2" t="s">
        <v>42</v>
      </c>
      <c r="O15" s="2" t="s">
        <v>43</v>
      </c>
      <c r="P15" s="4" t="n">
        <v>5</v>
      </c>
      <c r="Q15" s="5" t="n">
        <v>-23.6237</v>
      </c>
      <c r="R15" s="5" t="n">
        <v>-46.6417</v>
      </c>
      <c r="S15" s="6" t="s">
        <v>34</v>
      </c>
      <c r="T15" s="3" t="s">
        <v>125</v>
      </c>
    </row>
    <row r="16" customFormat="false" ht="15" hidden="false" customHeight="false" outlineLevel="0" collapsed="false">
      <c r="A16" s="2" t="s">
        <v>20</v>
      </c>
      <c r="B16" s="2" t="s">
        <v>21</v>
      </c>
      <c r="C16" s="2" t="s">
        <v>126</v>
      </c>
      <c r="D16" s="2" t="s">
        <v>127</v>
      </c>
      <c r="E16" s="3" t="s">
        <v>128</v>
      </c>
      <c r="F16" s="3" t="s">
        <v>129</v>
      </c>
      <c r="G16" s="2" t="s">
        <v>102</v>
      </c>
      <c r="H16" s="2" t="s">
        <v>103</v>
      </c>
      <c r="I16" s="2" t="s">
        <v>28</v>
      </c>
      <c r="J16" s="2" t="s">
        <v>130</v>
      </c>
      <c r="K16" s="2" t="s">
        <v>30</v>
      </c>
      <c r="L16" s="2" t="s">
        <v>30</v>
      </c>
      <c r="M16" s="2" t="s">
        <v>76</v>
      </c>
      <c r="N16" s="2" t="s">
        <v>42</v>
      </c>
      <c r="O16" s="2" t="s">
        <v>43</v>
      </c>
      <c r="P16" s="4" t="n">
        <v>0</v>
      </c>
      <c r="Q16" s="5" t="n">
        <v>-22.9028</v>
      </c>
      <c r="R16" s="5" t="n">
        <v>-43.174</v>
      </c>
      <c r="S16" s="8" t="s">
        <v>96</v>
      </c>
      <c r="T16" s="3" t="s">
        <v>131</v>
      </c>
    </row>
    <row r="17" customFormat="false" ht="15" hidden="false" customHeight="false" outlineLevel="0" collapsed="false">
      <c r="A17" s="2" t="s">
        <v>20</v>
      </c>
      <c r="B17" s="2" t="s">
        <v>21</v>
      </c>
      <c r="C17" s="2" t="s">
        <v>132</v>
      </c>
      <c r="D17" s="2" t="s">
        <v>133</v>
      </c>
      <c r="E17" s="3" t="s">
        <v>134</v>
      </c>
      <c r="F17" s="3" t="s">
        <v>135</v>
      </c>
      <c r="G17" s="2" t="s">
        <v>65</v>
      </c>
      <c r="H17" s="2" t="s">
        <v>66</v>
      </c>
      <c r="I17" s="2" t="s">
        <v>28</v>
      </c>
      <c r="J17" s="2" t="s">
        <v>67</v>
      </c>
      <c r="K17" s="2" t="s">
        <v>30</v>
      </c>
      <c r="L17" s="2" t="s">
        <v>30</v>
      </c>
      <c r="M17" s="2" t="s">
        <v>136</v>
      </c>
      <c r="N17" s="2" t="s">
        <v>68</v>
      </c>
      <c r="O17" s="2" t="s">
        <v>43</v>
      </c>
      <c r="P17" s="4" t="n">
        <v>0</v>
      </c>
      <c r="Q17" s="5" t="n">
        <v>-15.7982182</v>
      </c>
      <c r="R17" s="5" t="n">
        <v>-47.8824458</v>
      </c>
      <c r="S17" s="6" t="s">
        <v>34</v>
      </c>
      <c r="T17" s="3" t="s">
        <v>137</v>
      </c>
    </row>
    <row r="18" customFormat="false" ht="15" hidden="false" customHeight="false" outlineLevel="0" collapsed="false">
      <c r="A18" s="2" t="s">
        <v>20</v>
      </c>
      <c r="B18" s="2" t="s">
        <v>21</v>
      </c>
      <c r="C18" s="2" t="s">
        <v>138</v>
      </c>
      <c r="D18" s="2" t="s">
        <v>139</v>
      </c>
      <c r="E18" s="3" t="s">
        <v>87</v>
      </c>
      <c r="F18" s="3" t="s">
        <v>88</v>
      </c>
      <c r="G18" s="2" t="s">
        <v>26</v>
      </c>
      <c r="H18" s="2" t="s">
        <v>27</v>
      </c>
      <c r="I18" s="2" t="s">
        <v>28</v>
      </c>
      <c r="J18" s="2" t="s">
        <v>56</v>
      </c>
      <c r="K18" s="2" t="s">
        <v>57</v>
      </c>
      <c r="L18" s="2" t="s">
        <v>57</v>
      </c>
      <c r="M18" s="2" t="s">
        <v>140</v>
      </c>
      <c r="N18" s="2" t="s">
        <v>141</v>
      </c>
      <c r="O18" s="2" t="s">
        <v>43</v>
      </c>
      <c r="P18" s="4" t="n">
        <v>6</v>
      </c>
      <c r="Q18" s="5" t="n">
        <v>-23.5870195</v>
      </c>
      <c r="R18" s="5" t="n">
        <v>-46.6818719</v>
      </c>
      <c r="S18" s="6" t="s">
        <v>34</v>
      </c>
      <c r="T18" s="3" t="s">
        <v>142</v>
      </c>
    </row>
    <row r="19" customFormat="false" ht="23.85" hidden="false" customHeight="false" outlineLevel="0" collapsed="false">
      <c r="A19" s="2" t="s">
        <v>20</v>
      </c>
      <c r="B19" s="2" t="s">
        <v>21</v>
      </c>
      <c r="C19" s="2" t="s">
        <v>143</v>
      </c>
      <c r="D19" s="2" t="s">
        <v>144</v>
      </c>
      <c r="E19" s="3" t="s">
        <v>145</v>
      </c>
      <c r="F19" s="3" t="s">
        <v>146</v>
      </c>
      <c r="G19" s="2" t="s">
        <v>26</v>
      </c>
      <c r="H19" s="2" t="s">
        <v>27</v>
      </c>
      <c r="I19" s="2" t="s">
        <v>28</v>
      </c>
      <c r="J19" s="2" t="s">
        <v>147</v>
      </c>
      <c r="K19" s="2" t="s">
        <v>57</v>
      </c>
      <c r="L19" s="2" t="s">
        <v>57</v>
      </c>
      <c r="M19" s="2" t="s">
        <v>140</v>
      </c>
      <c r="N19" s="2" t="s">
        <v>141</v>
      </c>
      <c r="O19" s="2" t="s">
        <v>33</v>
      </c>
      <c r="P19" s="4" t="n">
        <v>0</v>
      </c>
      <c r="Q19" s="5" t="n">
        <v>-23.5916617</v>
      </c>
      <c r="R19" s="5" t="n">
        <v>-46.6879693</v>
      </c>
      <c r="S19" s="6" t="s">
        <v>34</v>
      </c>
      <c r="T19" s="3" t="s">
        <v>148</v>
      </c>
    </row>
    <row r="20" customFormat="false" ht="23.85" hidden="false" customHeight="false" outlineLevel="0" collapsed="false">
      <c r="A20" s="2" t="s">
        <v>20</v>
      </c>
      <c r="B20" s="2" t="s">
        <v>21</v>
      </c>
      <c r="C20" s="2" t="s">
        <v>149</v>
      </c>
      <c r="D20" s="2" t="s">
        <v>150</v>
      </c>
      <c r="E20" s="3" t="s">
        <v>151</v>
      </c>
      <c r="F20" s="3" t="s">
        <v>152</v>
      </c>
      <c r="G20" s="2" t="s">
        <v>26</v>
      </c>
      <c r="H20" s="2" t="s">
        <v>27</v>
      </c>
      <c r="I20" s="2" t="s">
        <v>28</v>
      </c>
      <c r="J20" s="2" t="s">
        <v>49</v>
      </c>
      <c r="K20" s="2" t="s">
        <v>153</v>
      </c>
      <c r="L20" s="2" t="s">
        <v>153</v>
      </c>
      <c r="M20" s="2" t="s">
        <v>140</v>
      </c>
      <c r="N20" s="2" t="s">
        <v>141</v>
      </c>
      <c r="O20" s="2" t="s">
        <v>154</v>
      </c>
      <c r="P20" s="4" t="n">
        <v>2</v>
      </c>
      <c r="Q20" s="5" t="n">
        <v>-23.5901719</v>
      </c>
      <c r="R20" s="5" t="n">
        <v>-46.6820629</v>
      </c>
      <c r="S20" s="6" t="s">
        <v>34</v>
      </c>
      <c r="T20" s="3" t="s">
        <v>155</v>
      </c>
    </row>
    <row r="21" customFormat="false" ht="15" hidden="false" customHeight="false" outlineLevel="0" collapsed="false">
      <c r="A21" s="2" t="s">
        <v>20</v>
      </c>
      <c r="B21" s="2" t="s">
        <v>21</v>
      </c>
      <c r="C21" s="2" t="s">
        <v>156</v>
      </c>
      <c r="D21" s="2" t="s">
        <v>157</v>
      </c>
      <c r="E21" s="3" t="s">
        <v>158</v>
      </c>
      <c r="F21" s="3" t="s">
        <v>159</v>
      </c>
      <c r="G21" s="2" t="s">
        <v>26</v>
      </c>
      <c r="H21" s="2" t="s">
        <v>27</v>
      </c>
      <c r="I21" s="2" t="s">
        <v>28</v>
      </c>
      <c r="J21" s="2" t="s">
        <v>160</v>
      </c>
      <c r="K21" s="2" t="s">
        <v>161</v>
      </c>
      <c r="L21" s="2" t="s">
        <v>161</v>
      </c>
      <c r="M21" s="2" t="s">
        <v>140</v>
      </c>
      <c r="N21" s="2" t="s">
        <v>162</v>
      </c>
      <c r="O21" s="2" t="s">
        <v>43</v>
      </c>
      <c r="P21" s="4" t="n">
        <v>1</v>
      </c>
      <c r="Q21" s="5" t="n">
        <v>-23.5703815</v>
      </c>
      <c r="R21" s="5" t="n">
        <v>-46.6906755</v>
      </c>
      <c r="S21" s="6" t="s">
        <v>34</v>
      </c>
      <c r="T21" s="3" t="s">
        <v>163</v>
      </c>
    </row>
    <row r="22" customFormat="false" ht="23.85" hidden="false" customHeight="false" outlineLevel="0" collapsed="false">
      <c r="A22" s="2" t="s">
        <v>20</v>
      </c>
      <c r="B22" s="2" t="s">
        <v>21</v>
      </c>
      <c r="C22" s="2" t="s">
        <v>164</v>
      </c>
      <c r="D22" s="2" t="s">
        <v>165</v>
      </c>
      <c r="E22" s="3" t="s">
        <v>166</v>
      </c>
      <c r="F22" s="3" t="s">
        <v>167</v>
      </c>
      <c r="G22" s="2" t="s">
        <v>102</v>
      </c>
      <c r="H22" s="2" t="s">
        <v>103</v>
      </c>
      <c r="I22" s="2" t="s">
        <v>28</v>
      </c>
      <c r="J22" s="2" t="s">
        <v>168</v>
      </c>
      <c r="K22" s="2" t="s">
        <v>30</v>
      </c>
      <c r="L22" s="2" t="s">
        <v>30</v>
      </c>
      <c r="M22" s="2" t="s">
        <v>140</v>
      </c>
      <c r="N22" s="2" t="s">
        <v>162</v>
      </c>
      <c r="O22" s="2" t="s">
        <v>43</v>
      </c>
      <c r="P22" s="4" t="n">
        <v>1</v>
      </c>
      <c r="Q22" s="5" t="n">
        <v>-22.8952424</v>
      </c>
      <c r="R22" s="5" t="n">
        <v>-43.1868954</v>
      </c>
      <c r="S22" s="6" t="s">
        <v>34</v>
      </c>
      <c r="T22" s="3" t="s">
        <v>169</v>
      </c>
    </row>
    <row r="23" customFormat="false" ht="15" hidden="false" customHeight="false" outlineLevel="0" collapsed="false">
      <c r="A23" s="2" t="s">
        <v>20</v>
      </c>
      <c r="B23" s="2" t="s">
        <v>21</v>
      </c>
      <c r="C23" s="2" t="s">
        <v>170</v>
      </c>
      <c r="D23" s="2" t="s">
        <v>171</v>
      </c>
      <c r="E23" s="3" t="s">
        <v>172</v>
      </c>
      <c r="F23" s="3" t="s">
        <v>173</v>
      </c>
      <c r="G23" s="2" t="s">
        <v>26</v>
      </c>
      <c r="H23" s="2" t="s">
        <v>27</v>
      </c>
      <c r="I23" s="2" t="s">
        <v>28</v>
      </c>
      <c r="J23" s="2" t="s">
        <v>174</v>
      </c>
      <c r="K23" s="2" t="s">
        <v>30</v>
      </c>
      <c r="L23" s="2" t="s">
        <v>30</v>
      </c>
      <c r="M23" s="2" t="s">
        <v>140</v>
      </c>
      <c r="N23" s="2" t="s">
        <v>162</v>
      </c>
      <c r="O23" s="2" t="s">
        <v>43</v>
      </c>
      <c r="P23" s="4" t="n">
        <v>1</v>
      </c>
      <c r="Q23" s="5" t="n">
        <v>-23.58786</v>
      </c>
      <c r="R23" s="5" t="n">
        <v>-46.6803818</v>
      </c>
      <c r="S23" s="6" t="s">
        <v>34</v>
      </c>
      <c r="T23" s="3" t="s">
        <v>175</v>
      </c>
    </row>
    <row r="24" customFormat="false" ht="23.85" hidden="false" customHeight="false" outlineLevel="0" collapsed="false">
      <c r="A24" s="2" t="s">
        <v>20</v>
      </c>
      <c r="B24" s="2" t="s">
        <v>21</v>
      </c>
      <c r="C24" s="2" t="s">
        <v>176</v>
      </c>
      <c r="D24" s="2" t="s">
        <v>177</v>
      </c>
      <c r="E24" s="3" t="s">
        <v>178</v>
      </c>
      <c r="F24" s="3" t="s">
        <v>179</v>
      </c>
      <c r="G24" s="2" t="s">
        <v>26</v>
      </c>
      <c r="H24" s="2" t="s">
        <v>27</v>
      </c>
      <c r="I24" s="2" t="s">
        <v>28</v>
      </c>
      <c r="J24" s="2" t="s">
        <v>180</v>
      </c>
      <c r="K24" s="2" t="s">
        <v>30</v>
      </c>
      <c r="L24" s="2" t="s">
        <v>30</v>
      </c>
      <c r="M24" s="2" t="s">
        <v>140</v>
      </c>
      <c r="N24" s="2" t="s">
        <v>162</v>
      </c>
      <c r="O24" s="2" t="s">
        <v>43</v>
      </c>
      <c r="P24" s="4" t="n">
        <v>1</v>
      </c>
      <c r="Q24" s="5" t="n">
        <v>-23.5662939</v>
      </c>
      <c r="R24" s="5" t="n">
        <v>-46.6518975</v>
      </c>
      <c r="S24" s="8" t="s">
        <v>96</v>
      </c>
      <c r="T24" s="3" t="s">
        <v>181</v>
      </c>
    </row>
    <row r="25" customFormat="false" ht="15" hidden="false" customHeight="false" outlineLevel="0" collapsed="false">
      <c r="A25" s="2" t="s">
        <v>20</v>
      </c>
      <c r="B25" s="2" t="s">
        <v>21</v>
      </c>
      <c r="C25" s="2" t="s">
        <v>182</v>
      </c>
      <c r="D25" s="2" t="s">
        <v>183</v>
      </c>
      <c r="E25" s="3" t="s">
        <v>184</v>
      </c>
      <c r="F25" s="3" t="s">
        <v>185</v>
      </c>
      <c r="G25" s="2" t="s">
        <v>26</v>
      </c>
      <c r="H25" s="2" t="s">
        <v>27</v>
      </c>
      <c r="I25" s="2" t="s">
        <v>28</v>
      </c>
      <c r="J25" s="2" t="s">
        <v>186</v>
      </c>
      <c r="K25" s="2" t="s">
        <v>89</v>
      </c>
      <c r="L25" s="2" t="s">
        <v>89</v>
      </c>
      <c r="M25" s="2" t="s">
        <v>140</v>
      </c>
      <c r="N25" s="2" t="s">
        <v>187</v>
      </c>
      <c r="O25" s="2" t="s">
        <v>43</v>
      </c>
      <c r="P25" s="4" t="n">
        <v>1</v>
      </c>
      <c r="Q25" s="5" t="n">
        <v>-23.5675672</v>
      </c>
      <c r="R25" s="5" t="n">
        <v>-46.6599978</v>
      </c>
      <c r="S25" s="6" t="s">
        <v>34</v>
      </c>
      <c r="T25" s="3" t="s">
        <v>188</v>
      </c>
    </row>
    <row r="26" customFormat="false" ht="23.85" hidden="false" customHeight="false" outlineLevel="0" collapsed="false">
      <c r="A26" s="2" t="s">
        <v>20</v>
      </c>
      <c r="B26" s="2" t="s">
        <v>21</v>
      </c>
      <c r="C26" s="2" t="s">
        <v>189</v>
      </c>
      <c r="D26" s="2" t="s">
        <v>190</v>
      </c>
      <c r="E26" s="3" t="s">
        <v>191</v>
      </c>
      <c r="F26" s="3" t="s">
        <v>192</v>
      </c>
      <c r="G26" s="2" t="s">
        <v>26</v>
      </c>
      <c r="H26" s="2" t="s">
        <v>27</v>
      </c>
      <c r="I26" s="2" t="s">
        <v>28</v>
      </c>
      <c r="J26" s="2" t="s">
        <v>49</v>
      </c>
      <c r="K26" s="2" t="s">
        <v>193</v>
      </c>
      <c r="L26" s="2" t="s">
        <v>194</v>
      </c>
      <c r="M26" s="2" t="s">
        <v>140</v>
      </c>
      <c r="N26" s="2" t="s">
        <v>187</v>
      </c>
      <c r="O26" s="2" t="s">
        <v>43</v>
      </c>
      <c r="P26" s="4" t="n">
        <v>1</v>
      </c>
      <c r="Q26" s="5" t="n">
        <v>-23.5952024</v>
      </c>
      <c r="R26" s="5" t="n">
        <v>-46.6803762</v>
      </c>
      <c r="S26" s="6" t="s">
        <v>34</v>
      </c>
      <c r="T26" s="3" t="s">
        <v>195</v>
      </c>
    </row>
    <row r="27" customFormat="false" ht="23.85" hidden="false" customHeight="false" outlineLevel="0" collapsed="false">
      <c r="A27" s="2" t="s">
        <v>20</v>
      </c>
      <c r="B27" s="2" t="s">
        <v>21</v>
      </c>
      <c r="C27" s="2" t="s">
        <v>196</v>
      </c>
      <c r="D27" s="2" t="s">
        <v>197</v>
      </c>
      <c r="E27" s="3" t="s">
        <v>198</v>
      </c>
      <c r="F27" s="3" t="s">
        <v>199</v>
      </c>
      <c r="G27" s="2" t="s">
        <v>102</v>
      </c>
      <c r="H27" s="2" t="s">
        <v>103</v>
      </c>
      <c r="I27" s="2" t="s">
        <v>28</v>
      </c>
      <c r="J27" s="2" t="s">
        <v>200</v>
      </c>
      <c r="K27" s="2" t="s">
        <v>201</v>
      </c>
      <c r="L27" s="2" t="s">
        <v>202</v>
      </c>
      <c r="M27" s="2" t="s">
        <v>140</v>
      </c>
      <c r="N27" s="2" t="s">
        <v>187</v>
      </c>
      <c r="O27" s="2" t="s">
        <v>43</v>
      </c>
      <c r="P27" s="4" t="n">
        <v>4</v>
      </c>
      <c r="Q27" s="5" t="n">
        <v>-22.9841261</v>
      </c>
      <c r="R27" s="5" t="n">
        <v>-43.2175127</v>
      </c>
      <c r="S27" s="6" t="s">
        <v>34</v>
      </c>
      <c r="T27" s="3" t="s">
        <v>203</v>
      </c>
    </row>
    <row r="28" customFormat="false" ht="15" hidden="false" customHeight="false" outlineLevel="0" collapsed="false">
      <c r="A28" s="2" t="s">
        <v>20</v>
      </c>
      <c r="B28" s="2" t="s">
        <v>21</v>
      </c>
      <c r="C28" s="2" t="s">
        <v>204</v>
      </c>
      <c r="D28" s="2" t="s">
        <v>205</v>
      </c>
      <c r="E28" s="3" t="s">
        <v>206</v>
      </c>
      <c r="F28" s="3" t="s">
        <v>207</v>
      </c>
      <c r="G28" s="2" t="s">
        <v>102</v>
      </c>
      <c r="H28" s="2" t="s">
        <v>103</v>
      </c>
      <c r="I28" s="2" t="s">
        <v>28</v>
      </c>
      <c r="J28" s="2" t="s">
        <v>208</v>
      </c>
      <c r="K28" s="2" t="s">
        <v>30</v>
      </c>
      <c r="L28" s="2" t="s">
        <v>30</v>
      </c>
      <c r="M28" s="2" t="s">
        <v>140</v>
      </c>
      <c r="N28" s="2" t="s">
        <v>187</v>
      </c>
      <c r="O28" s="2" t="s">
        <v>43</v>
      </c>
      <c r="P28" s="4" t="n">
        <v>0</v>
      </c>
      <c r="Q28" s="5" t="n">
        <v>-22.9647392</v>
      </c>
      <c r="R28" s="5" t="n">
        <v>-43.2203409</v>
      </c>
      <c r="S28" s="6" t="s">
        <v>34</v>
      </c>
      <c r="T28" s="3" t="s">
        <v>209</v>
      </c>
    </row>
    <row r="29" customFormat="false" ht="15" hidden="false" customHeight="false" outlineLevel="0" collapsed="false">
      <c r="A29" s="2" t="s">
        <v>20</v>
      </c>
      <c r="B29" s="2" t="s">
        <v>21</v>
      </c>
      <c r="C29" s="2" t="s">
        <v>210</v>
      </c>
      <c r="D29" s="2" t="s">
        <v>211</v>
      </c>
      <c r="E29" s="3" t="s">
        <v>212</v>
      </c>
      <c r="F29" s="3" t="s">
        <v>213</v>
      </c>
      <c r="G29" s="2" t="s">
        <v>26</v>
      </c>
      <c r="H29" s="2" t="s">
        <v>27</v>
      </c>
      <c r="I29" s="2" t="s">
        <v>28</v>
      </c>
      <c r="J29" s="2" t="s">
        <v>186</v>
      </c>
      <c r="K29" s="2" t="s">
        <v>30</v>
      </c>
      <c r="L29" s="2" t="s">
        <v>30</v>
      </c>
      <c r="M29" s="2" t="s">
        <v>140</v>
      </c>
      <c r="N29" s="2" t="s">
        <v>187</v>
      </c>
      <c r="O29" s="2" t="s">
        <v>43</v>
      </c>
      <c r="P29" s="4" t="n">
        <v>0</v>
      </c>
      <c r="Q29" s="5" t="n">
        <v>-23.5707545</v>
      </c>
      <c r="R29" s="5" t="n">
        <v>-46.6629392</v>
      </c>
      <c r="S29" s="6" t="s">
        <v>34</v>
      </c>
      <c r="T29" s="3" t="s">
        <v>214</v>
      </c>
    </row>
    <row r="30" customFormat="false" ht="23.85" hidden="false" customHeight="false" outlineLevel="0" collapsed="false">
      <c r="A30" s="2" t="s">
        <v>20</v>
      </c>
      <c r="B30" s="2" t="s">
        <v>21</v>
      </c>
      <c r="C30" s="2" t="s">
        <v>215</v>
      </c>
      <c r="D30" s="2" t="s">
        <v>216</v>
      </c>
      <c r="E30" s="3" t="s">
        <v>217</v>
      </c>
      <c r="F30" s="3" t="s">
        <v>218</v>
      </c>
      <c r="G30" s="2" t="s">
        <v>26</v>
      </c>
      <c r="H30" s="2" t="s">
        <v>27</v>
      </c>
      <c r="I30" s="2" t="s">
        <v>28</v>
      </c>
      <c r="J30" s="2" t="s">
        <v>56</v>
      </c>
      <c r="K30" s="2" t="s">
        <v>30</v>
      </c>
      <c r="L30" s="2" t="s">
        <v>30</v>
      </c>
      <c r="M30" s="2" t="s">
        <v>140</v>
      </c>
      <c r="N30" s="2" t="s">
        <v>187</v>
      </c>
      <c r="O30" s="2" t="s">
        <v>43</v>
      </c>
      <c r="P30" s="4" t="n">
        <v>0</v>
      </c>
      <c r="Q30" s="5" t="n">
        <v>-23.5877</v>
      </c>
      <c r="R30" s="5" t="n">
        <v>-46.682</v>
      </c>
      <c r="S30" s="8" t="s">
        <v>96</v>
      </c>
      <c r="T30" s="3" t="s">
        <v>219</v>
      </c>
    </row>
    <row r="31" customFormat="false" ht="15" hidden="false" customHeight="false" outlineLevel="0" collapsed="false">
      <c r="A31" s="2" t="s">
        <v>20</v>
      </c>
      <c r="B31" s="2" t="s">
        <v>21</v>
      </c>
      <c r="C31" s="2" t="s">
        <v>220</v>
      </c>
      <c r="D31" s="2" t="s">
        <v>221</v>
      </c>
      <c r="E31" s="3" t="s">
        <v>222</v>
      </c>
      <c r="F31" s="3" t="s">
        <v>223</v>
      </c>
      <c r="G31" s="2" t="s">
        <v>26</v>
      </c>
      <c r="H31" s="2" t="s">
        <v>27</v>
      </c>
      <c r="I31" s="2" t="s">
        <v>28</v>
      </c>
      <c r="J31" s="2" t="s">
        <v>224</v>
      </c>
      <c r="K31" s="2" t="s">
        <v>225</v>
      </c>
      <c r="L31" s="2" t="s">
        <v>225</v>
      </c>
      <c r="M31" s="2" t="s">
        <v>140</v>
      </c>
      <c r="N31" s="2" t="s">
        <v>187</v>
      </c>
      <c r="O31" s="2" t="s">
        <v>43</v>
      </c>
      <c r="P31" s="4" t="n">
        <v>1</v>
      </c>
      <c r="Q31" s="5" t="n">
        <v>-23.6236109</v>
      </c>
      <c r="R31" s="5" t="n">
        <v>-46.7022472</v>
      </c>
      <c r="S31" s="6" t="s">
        <v>34</v>
      </c>
      <c r="T31" s="3" t="s">
        <v>226</v>
      </c>
    </row>
    <row r="32" customFormat="false" ht="15" hidden="false" customHeight="false" outlineLevel="0" collapsed="false">
      <c r="A32" s="2" t="s">
        <v>20</v>
      </c>
      <c r="B32" s="2" t="s">
        <v>21</v>
      </c>
      <c r="C32" s="2" t="s">
        <v>227</v>
      </c>
      <c r="D32" s="2" t="s">
        <v>228</v>
      </c>
      <c r="E32" s="3" t="s">
        <v>229</v>
      </c>
      <c r="F32" s="3" t="s">
        <v>230</v>
      </c>
      <c r="G32" s="2" t="s">
        <v>26</v>
      </c>
      <c r="H32" s="2" t="s">
        <v>27</v>
      </c>
      <c r="I32" s="2" t="s">
        <v>28</v>
      </c>
      <c r="J32" s="2" t="s">
        <v>231</v>
      </c>
      <c r="K32" s="2" t="s">
        <v>30</v>
      </c>
      <c r="L32" s="2" t="s">
        <v>30</v>
      </c>
      <c r="M32" s="2" t="s">
        <v>140</v>
      </c>
      <c r="N32" s="2" t="s">
        <v>187</v>
      </c>
      <c r="O32" s="2" t="s">
        <v>43</v>
      </c>
      <c r="P32" s="4" t="n">
        <v>2</v>
      </c>
      <c r="Q32" s="5" t="n">
        <v>-23.5608809</v>
      </c>
      <c r="R32" s="5" t="n">
        <v>-46.6733926</v>
      </c>
      <c r="S32" s="6" t="s">
        <v>34</v>
      </c>
      <c r="T32" s="3" t="s">
        <v>232</v>
      </c>
    </row>
    <row r="33" customFormat="false" ht="23.85" hidden="false" customHeight="false" outlineLevel="0" collapsed="false">
      <c r="A33" s="2" t="s">
        <v>20</v>
      </c>
      <c r="B33" s="2" t="s">
        <v>21</v>
      </c>
      <c r="C33" s="2" t="s">
        <v>233</v>
      </c>
      <c r="D33" s="2" t="s">
        <v>234</v>
      </c>
      <c r="E33" s="3" t="s">
        <v>235</v>
      </c>
      <c r="F33" s="3" t="s">
        <v>236</v>
      </c>
      <c r="G33" s="2" t="s">
        <v>26</v>
      </c>
      <c r="H33" s="2" t="s">
        <v>27</v>
      </c>
      <c r="I33" s="2" t="s">
        <v>28</v>
      </c>
      <c r="J33" s="2" t="s">
        <v>237</v>
      </c>
      <c r="K33" s="2" t="s">
        <v>57</v>
      </c>
      <c r="L33" s="2" t="s">
        <v>57</v>
      </c>
      <c r="M33" s="2" t="s">
        <v>140</v>
      </c>
      <c r="N33" s="2" t="s">
        <v>187</v>
      </c>
      <c r="O33" s="2" t="s">
        <v>43</v>
      </c>
      <c r="P33" s="4" t="n">
        <v>2</v>
      </c>
      <c r="Q33" s="5" t="n">
        <v>-23.552327</v>
      </c>
      <c r="R33" s="5" t="n">
        <v>-46.6801542</v>
      </c>
      <c r="S33" s="8" t="s">
        <v>96</v>
      </c>
      <c r="T33" s="3" t="s">
        <v>238</v>
      </c>
    </row>
    <row r="34" customFormat="false" ht="23.85" hidden="false" customHeight="false" outlineLevel="0" collapsed="false">
      <c r="A34" s="2" t="s">
        <v>20</v>
      </c>
      <c r="B34" s="2" t="s">
        <v>21</v>
      </c>
      <c r="C34" s="2" t="s">
        <v>239</v>
      </c>
      <c r="D34" s="2" t="s">
        <v>240</v>
      </c>
      <c r="E34" s="3" t="s">
        <v>241</v>
      </c>
      <c r="F34" s="3" t="s">
        <v>242</v>
      </c>
      <c r="G34" s="2" t="s">
        <v>102</v>
      </c>
      <c r="H34" s="2" t="s">
        <v>103</v>
      </c>
      <c r="I34" s="2" t="s">
        <v>28</v>
      </c>
      <c r="J34" s="2" t="s">
        <v>243</v>
      </c>
      <c r="K34" s="2" t="s">
        <v>57</v>
      </c>
      <c r="L34" s="2" t="s">
        <v>57</v>
      </c>
      <c r="M34" s="2" t="s">
        <v>140</v>
      </c>
      <c r="N34" s="2" t="s">
        <v>187</v>
      </c>
      <c r="O34" s="2" t="s">
        <v>43</v>
      </c>
      <c r="P34" s="4" t="n">
        <v>0</v>
      </c>
      <c r="Q34" s="5" t="n">
        <v>-22.9504405</v>
      </c>
      <c r="R34" s="5" t="n">
        <v>-43.1806365</v>
      </c>
      <c r="S34" s="6" t="s">
        <v>34</v>
      </c>
      <c r="T34" s="3" t="s">
        <v>244</v>
      </c>
    </row>
    <row r="35" customFormat="false" ht="23.85" hidden="false" customHeight="false" outlineLevel="0" collapsed="false">
      <c r="A35" s="2" t="s">
        <v>20</v>
      </c>
      <c r="B35" s="2" t="s">
        <v>21</v>
      </c>
      <c r="C35" s="2" t="s">
        <v>245</v>
      </c>
      <c r="D35" s="2" t="s">
        <v>246</v>
      </c>
      <c r="E35" s="3" t="s">
        <v>247</v>
      </c>
      <c r="F35" s="3" t="s">
        <v>146</v>
      </c>
      <c r="G35" s="2" t="s">
        <v>26</v>
      </c>
      <c r="H35" s="2" t="s">
        <v>27</v>
      </c>
      <c r="I35" s="2" t="s">
        <v>28</v>
      </c>
      <c r="J35" s="2" t="s">
        <v>147</v>
      </c>
      <c r="K35" s="2" t="s">
        <v>57</v>
      </c>
      <c r="L35" s="2" t="s">
        <v>57</v>
      </c>
      <c r="M35" s="2" t="s">
        <v>140</v>
      </c>
      <c r="N35" s="2" t="s">
        <v>187</v>
      </c>
      <c r="O35" s="2" t="s">
        <v>43</v>
      </c>
      <c r="P35" s="4" t="n">
        <v>3</v>
      </c>
      <c r="Q35" s="5" t="n">
        <v>-23.5916617</v>
      </c>
      <c r="R35" s="5" t="n">
        <v>-46.6879693</v>
      </c>
      <c r="S35" s="6" t="s">
        <v>34</v>
      </c>
      <c r="T35" s="3" t="s">
        <v>248</v>
      </c>
    </row>
    <row r="36" customFormat="false" ht="15" hidden="false" customHeight="false" outlineLevel="0" collapsed="false">
      <c r="A36" s="2" t="s">
        <v>20</v>
      </c>
      <c r="B36" s="2" t="s">
        <v>21</v>
      </c>
      <c r="C36" s="2" t="s">
        <v>249</v>
      </c>
      <c r="D36" s="2" t="s">
        <v>250</v>
      </c>
      <c r="E36" s="3" t="s">
        <v>251</v>
      </c>
      <c r="F36" s="3" t="s">
        <v>252</v>
      </c>
      <c r="G36" s="2" t="s">
        <v>26</v>
      </c>
      <c r="H36" s="2" t="s">
        <v>27</v>
      </c>
      <c r="I36" s="2" t="s">
        <v>28</v>
      </c>
      <c r="J36" s="2" t="s">
        <v>253</v>
      </c>
      <c r="K36" s="2" t="s">
        <v>57</v>
      </c>
      <c r="L36" s="2" t="s">
        <v>57</v>
      </c>
      <c r="M36" s="2" t="s">
        <v>140</v>
      </c>
      <c r="N36" s="2" t="s">
        <v>187</v>
      </c>
      <c r="O36" s="2" t="s">
        <v>43</v>
      </c>
      <c r="P36" s="4" t="n">
        <v>0</v>
      </c>
      <c r="Q36" s="5" t="n">
        <v>-23.5577496</v>
      </c>
      <c r="R36" s="5" t="n">
        <v>-46.6601759</v>
      </c>
      <c r="S36" s="6" t="s">
        <v>34</v>
      </c>
      <c r="T36" s="3" t="s">
        <v>254</v>
      </c>
    </row>
    <row r="37" customFormat="false" ht="15" hidden="false" customHeight="false" outlineLevel="0" collapsed="false">
      <c r="A37" s="2" t="s">
        <v>20</v>
      </c>
      <c r="B37" s="2" t="s">
        <v>21</v>
      </c>
      <c r="C37" s="2" t="s">
        <v>255</v>
      </c>
      <c r="D37" s="2" t="s">
        <v>256</v>
      </c>
      <c r="E37" s="3" t="s">
        <v>257</v>
      </c>
      <c r="F37" s="3" t="s">
        <v>252</v>
      </c>
      <c r="G37" s="2" t="s">
        <v>26</v>
      </c>
      <c r="H37" s="2" t="s">
        <v>27</v>
      </c>
      <c r="I37" s="2" t="s">
        <v>28</v>
      </c>
      <c r="J37" s="2" t="s">
        <v>253</v>
      </c>
      <c r="K37" s="2" t="s">
        <v>57</v>
      </c>
      <c r="L37" s="2" t="s">
        <v>57</v>
      </c>
      <c r="M37" s="2" t="s">
        <v>140</v>
      </c>
      <c r="N37" s="2" t="s">
        <v>187</v>
      </c>
      <c r="O37" s="2" t="s">
        <v>43</v>
      </c>
      <c r="P37" s="4" t="n">
        <v>3</v>
      </c>
      <c r="Q37" s="5" t="n">
        <v>-23.5577496</v>
      </c>
      <c r="R37" s="5" t="n">
        <v>-46.6601759</v>
      </c>
      <c r="S37" s="6" t="s">
        <v>34</v>
      </c>
      <c r="T37" s="3" t="s">
        <v>258</v>
      </c>
    </row>
    <row r="38" customFormat="false" ht="15" hidden="false" customHeight="false" outlineLevel="0" collapsed="false">
      <c r="A38" s="2" t="s">
        <v>20</v>
      </c>
      <c r="B38" s="2" t="s">
        <v>21</v>
      </c>
      <c r="C38" s="2" t="s">
        <v>259</v>
      </c>
      <c r="D38" s="2" t="s">
        <v>260</v>
      </c>
      <c r="E38" s="3" t="s">
        <v>261</v>
      </c>
      <c r="F38" s="3" t="s">
        <v>262</v>
      </c>
      <c r="G38" s="2" t="s">
        <v>26</v>
      </c>
      <c r="H38" s="2" t="s">
        <v>27</v>
      </c>
      <c r="I38" s="2" t="s">
        <v>28</v>
      </c>
      <c r="J38" s="2" t="s">
        <v>263</v>
      </c>
      <c r="K38" s="2" t="s">
        <v>57</v>
      </c>
      <c r="L38" s="2" t="s">
        <v>57</v>
      </c>
      <c r="M38" s="2" t="s">
        <v>140</v>
      </c>
      <c r="N38" s="2" t="s">
        <v>187</v>
      </c>
      <c r="O38" s="2" t="s">
        <v>43</v>
      </c>
      <c r="P38" s="4" t="n">
        <v>4</v>
      </c>
      <c r="Q38" s="5" t="n">
        <v>-23.5669095</v>
      </c>
      <c r="R38" s="5" t="n">
        <v>-46.7008719</v>
      </c>
      <c r="S38" s="6" t="s">
        <v>34</v>
      </c>
      <c r="T38" s="3" t="s">
        <v>264</v>
      </c>
    </row>
    <row r="39" customFormat="false" ht="15" hidden="false" customHeight="false" outlineLevel="0" collapsed="false">
      <c r="A39" s="2" t="s">
        <v>20</v>
      </c>
      <c r="B39" s="2" t="s">
        <v>21</v>
      </c>
      <c r="C39" s="2" t="s">
        <v>265</v>
      </c>
      <c r="D39" s="2" t="s">
        <v>266</v>
      </c>
      <c r="E39" s="3" t="s">
        <v>267</v>
      </c>
      <c r="F39" s="3" t="s">
        <v>268</v>
      </c>
      <c r="G39" s="2" t="s">
        <v>26</v>
      </c>
      <c r="H39" s="2" t="s">
        <v>27</v>
      </c>
      <c r="I39" s="2" t="s">
        <v>28</v>
      </c>
      <c r="J39" s="2" t="s">
        <v>224</v>
      </c>
      <c r="K39" s="2" t="s">
        <v>57</v>
      </c>
      <c r="L39" s="2" t="s">
        <v>57</v>
      </c>
      <c r="M39" s="2" t="s">
        <v>140</v>
      </c>
      <c r="N39" s="2" t="s">
        <v>187</v>
      </c>
      <c r="O39" s="2" t="s">
        <v>43</v>
      </c>
      <c r="P39" s="4" t="n">
        <v>0</v>
      </c>
      <c r="Q39" s="5" t="n">
        <v>-23.62487</v>
      </c>
      <c r="R39" s="5" t="n">
        <v>-46.704493</v>
      </c>
      <c r="S39" s="8" t="s">
        <v>96</v>
      </c>
      <c r="T39" s="3" t="s">
        <v>269</v>
      </c>
    </row>
    <row r="40" customFormat="false" ht="15" hidden="false" customHeight="false" outlineLevel="0" collapsed="false">
      <c r="A40" s="2" t="s">
        <v>20</v>
      </c>
      <c r="B40" s="2" t="s">
        <v>21</v>
      </c>
      <c r="C40" s="2" t="s">
        <v>270</v>
      </c>
      <c r="D40" s="2" t="s">
        <v>271</v>
      </c>
      <c r="E40" s="3" t="s">
        <v>272</v>
      </c>
      <c r="F40" s="3" t="s">
        <v>135</v>
      </c>
      <c r="G40" s="2" t="s">
        <v>65</v>
      </c>
      <c r="H40" s="2" t="s">
        <v>66</v>
      </c>
      <c r="I40" s="2" t="s">
        <v>28</v>
      </c>
      <c r="J40" s="2" t="s">
        <v>67</v>
      </c>
      <c r="K40" s="2" t="s">
        <v>273</v>
      </c>
      <c r="L40" s="2" t="s">
        <v>273</v>
      </c>
      <c r="M40" s="2" t="s">
        <v>140</v>
      </c>
      <c r="N40" s="2" t="s">
        <v>187</v>
      </c>
      <c r="O40" s="2" t="s">
        <v>43</v>
      </c>
      <c r="P40" s="4" t="n">
        <v>0</v>
      </c>
      <c r="Q40" s="5" t="n">
        <v>-15.7982182</v>
      </c>
      <c r="R40" s="5" t="n">
        <v>-47.8824458</v>
      </c>
      <c r="S40" s="6" t="s">
        <v>34</v>
      </c>
      <c r="T40" s="3" t="s">
        <v>274</v>
      </c>
    </row>
    <row r="41" customFormat="false" ht="23.85" hidden="false" customHeight="false" outlineLevel="0" collapsed="false">
      <c r="A41" s="2" t="s">
        <v>20</v>
      </c>
      <c r="B41" s="2" t="s">
        <v>21</v>
      </c>
      <c r="C41" s="2" t="s">
        <v>275</v>
      </c>
      <c r="D41" s="2" t="s">
        <v>276</v>
      </c>
      <c r="E41" s="3" t="s">
        <v>277</v>
      </c>
      <c r="F41" s="3" t="s">
        <v>278</v>
      </c>
      <c r="G41" s="2" t="s">
        <v>26</v>
      </c>
      <c r="H41" s="2" t="s">
        <v>27</v>
      </c>
      <c r="I41" s="2" t="s">
        <v>28</v>
      </c>
      <c r="J41" s="2" t="s">
        <v>49</v>
      </c>
      <c r="K41" s="2" t="s">
        <v>57</v>
      </c>
      <c r="L41" s="2" t="s">
        <v>57</v>
      </c>
      <c r="M41" s="2" t="s">
        <v>140</v>
      </c>
      <c r="N41" s="2" t="s">
        <v>187</v>
      </c>
      <c r="O41" s="2" t="s">
        <v>43</v>
      </c>
      <c r="P41" s="4" t="n">
        <v>0</v>
      </c>
      <c r="Q41" s="5" t="n">
        <v>-23.5873259</v>
      </c>
      <c r="R41" s="5" t="n">
        <v>-46.6828353</v>
      </c>
      <c r="S41" s="6" t="s">
        <v>34</v>
      </c>
      <c r="T41" s="3" t="s">
        <v>279</v>
      </c>
    </row>
    <row r="42" customFormat="false" ht="15" hidden="false" customHeight="false" outlineLevel="0" collapsed="false">
      <c r="A42" s="2" t="s">
        <v>20</v>
      </c>
      <c r="B42" s="2" t="s">
        <v>21</v>
      </c>
      <c r="C42" s="2" t="s">
        <v>280</v>
      </c>
      <c r="D42" s="2" t="s">
        <v>281</v>
      </c>
      <c r="E42" s="3" t="s">
        <v>282</v>
      </c>
      <c r="F42" s="3" t="s">
        <v>283</v>
      </c>
      <c r="G42" s="2" t="s">
        <v>26</v>
      </c>
      <c r="H42" s="2" t="s">
        <v>27</v>
      </c>
      <c r="I42" s="2" t="s">
        <v>28</v>
      </c>
      <c r="J42" s="2" t="s">
        <v>29</v>
      </c>
      <c r="K42" s="2" t="s">
        <v>284</v>
      </c>
      <c r="L42" s="2" t="s">
        <v>284</v>
      </c>
      <c r="M42" s="2" t="s">
        <v>140</v>
      </c>
      <c r="N42" s="2" t="s">
        <v>285</v>
      </c>
      <c r="O42" s="2" t="s">
        <v>43</v>
      </c>
      <c r="P42" s="4" t="n">
        <v>0</v>
      </c>
      <c r="Q42" s="5" t="n">
        <v>-23.5914534</v>
      </c>
      <c r="R42" s="5" t="n">
        <v>-46.682681</v>
      </c>
      <c r="S42" s="6" t="s">
        <v>34</v>
      </c>
      <c r="T42" s="3" t="s">
        <v>286</v>
      </c>
    </row>
    <row r="43" customFormat="false" ht="15" hidden="false" customHeight="false" outlineLevel="0" collapsed="false">
      <c r="A43" s="2" t="s">
        <v>20</v>
      </c>
      <c r="B43" s="2" t="s">
        <v>21</v>
      </c>
      <c r="C43" s="2" t="s">
        <v>287</v>
      </c>
      <c r="D43" s="2" t="s">
        <v>288</v>
      </c>
      <c r="E43" s="3" t="s">
        <v>289</v>
      </c>
      <c r="F43" s="3" t="s">
        <v>290</v>
      </c>
      <c r="G43" s="2" t="s">
        <v>102</v>
      </c>
      <c r="H43" s="2" t="s">
        <v>103</v>
      </c>
      <c r="I43" s="2" t="s">
        <v>28</v>
      </c>
      <c r="J43" s="2" t="s">
        <v>243</v>
      </c>
      <c r="K43" s="2" t="s">
        <v>57</v>
      </c>
      <c r="L43" s="2" t="s">
        <v>57</v>
      </c>
      <c r="M43" s="2" t="s">
        <v>291</v>
      </c>
      <c r="N43" s="2" t="s">
        <v>292</v>
      </c>
      <c r="O43" s="2" t="s">
        <v>69</v>
      </c>
      <c r="P43" s="4" t="n">
        <v>0</v>
      </c>
      <c r="Q43" s="5" t="n">
        <v>-22.9504405</v>
      </c>
      <c r="R43" s="5" t="n">
        <v>-43.1806365</v>
      </c>
      <c r="S43" s="8" t="s">
        <v>96</v>
      </c>
      <c r="T43" s="3" t="s">
        <v>293</v>
      </c>
    </row>
    <row r="44" customFormat="false" ht="15" hidden="false" customHeight="false" outlineLevel="0" collapsed="false">
      <c r="A44" s="2" t="s">
        <v>20</v>
      </c>
      <c r="B44" s="2" t="s">
        <v>21</v>
      </c>
      <c r="C44" s="2" t="s">
        <v>294</v>
      </c>
      <c r="D44" s="2" t="s">
        <v>295</v>
      </c>
      <c r="E44" s="3" t="s">
        <v>296</v>
      </c>
      <c r="F44" s="3" t="s">
        <v>297</v>
      </c>
      <c r="G44" s="2" t="s">
        <v>26</v>
      </c>
      <c r="H44" s="2" t="s">
        <v>27</v>
      </c>
      <c r="I44" s="2" t="s">
        <v>28</v>
      </c>
      <c r="J44" s="2" t="s">
        <v>298</v>
      </c>
      <c r="K44" s="2" t="s">
        <v>57</v>
      </c>
      <c r="L44" s="2" t="s">
        <v>57</v>
      </c>
      <c r="M44" s="2" t="s">
        <v>299</v>
      </c>
      <c r="N44" s="2" t="s">
        <v>187</v>
      </c>
      <c r="O44" s="2" t="s">
        <v>33</v>
      </c>
      <c r="P44" s="4" t="n">
        <v>0</v>
      </c>
      <c r="Q44" s="5" t="n">
        <v>-23.5889665</v>
      </c>
      <c r="R44" s="5" t="n">
        <v>-46.681456</v>
      </c>
      <c r="S44" s="6" t="s">
        <v>34</v>
      </c>
      <c r="T44" s="3" t="s">
        <v>300</v>
      </c>
    </row>
    <row r="45" customFormat="false" ht="15" hidden="false" customHeight="false" outlineLevel="0" collapsed="false">
      <c r="A45" s="2" t="s">
        <v>20</v>
      </c>
      <c r="B45" s="2" t="s">
        <v>21</v>
      </c>
      <c r="C45" s="2" t="s">
        <v>301</v>
      </c>
      <c r="D45" s="2" t="s">
        <v>302</v>
      </c>
      <c r="E45" s="3" t="s">
        <v>303</v>
      </c>
      <c r="F45" s="3" t="s">
        <v>304</v>
      </c>
      <c r="G45" s="2" t="s">
        <v>26</v>
      </c>
      <c r="H45" s="2" t="s">
        <v>27</v>
      </c>
      <c r="I45" s="2" t="s">
        <v>28</v>
      </c>
      <c r="J45" s="2" t="s">
        <v>49</v>
      </c>
      <c r="K45" s="2" t="s">
        <v>30</v>
      </c>
      <c r="L45" s="2" t="s">
        <v>30</v>
      </c>
      <c r="M45" s="2" t="s">
        <v>299</v>
      </c>
      <c r="N45" s="2" t="s">
        <v>187</v>
      </c>
      <c r="O45" s="2" t="s">
        <v>33</v>
      </c>
      <c r="P45" s="4" t="n">
        <v>0</v>
      </c>
      <c r="Q45" s="5" t="n">
        <v>-23.590105</v>
      </c>
      <c r="R45" s="5" t="n">
        <v>-46.6820869</v>
      </c>
      <c r="S45" s="6" t="s">
        <v>34</v>
      </c>
      <c r="T45" s="3" t="s">
        <v>305</v>
      </c>
    </row>
  </sheetData>
  <autoFilter ref="A1:T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9" t="s">
        <v>306</v>
      </c>
    </row>
    <row r="2" customFormat="false" ht="15" hidden="false" customHeight="false" outlineLevel="0" collapsed="false">
      <c r="A2" s="10" t="s">
        <v>307</v>
      </c>
    </row>
    <row r="4" customFormat="false" ht="15" hidden="false" customHeight="false" outlineLevel="0" collapsed="false">
      <c r="A4" s="11" t="s">
        <v>308</v>
      </c>
      <c r="B4" s="11" t="n">
        <f aca="false">COUNTA('Brazil Accounts Enriched'!D2:D45)</f>
        <v>44</v>
      </c>
    </row>
    <row r="5" customFormat="false" ht="15" hidden="false" customHeight="false" outlineLevel="0" collapsed="false">
      <c r="A5" s="11" t="s">
        <v>309</v>
      </c>
      <c r="B5" s="11" t="n">
        <f aca="false">SUM('Brazil Accounts Enriched'!P2:P45)</f>
        <v>59</v>
      </c>
    </row>
    <row r="6" customFormat="false" ht="15" hidden="false" customHeight="false" outlineLevel="0" collapsed="false">
      <c r="A6" s="11"/>
    </row>
    <row r="7" customFormat="false" ht="15" hidden="false" customHeight="false" outlineLevel="0" collapsed="false">
      <c r="A7" s="12" t="s">
        <v>310</v>
      </c>
    </row>
    <row r="8" customFormat="false" ht="15" hidden="false" customHeight="false" outlineLevel="0" collapsed="false">
      <c r="A8" s="11" t="s">
        <v>33</v>
      </c>
      <c r="B8" s="11" t="n">
        <f aca="false">COUNTIF('Brazil Accounts Enriched'!O2:O45,"Live")</f>
        <v>4</v>
      </c>
    </row>
    <row r="9" customFormat="false" ht="15" hidden="false" customHeight="false" outlineLevel="0" collapsed="false">
      <c r="A9" s="11" t="s">
        <v>43</v>
      </c>
      <c r="B9" s="11" t="n">
        <f aca="false">COUNTIF('Brazil Accounts Enriched'!O2:O45,"Prospect")</f>
        <v>35</v>
      </c>
    </row>
    <row r="10" customFormat="false" ht="15" hidden="false" customHeight="false" outlineLevel="0" collapsed="false">
      <c r="A10" s="11" t="s">
        <v>154</v>
      </c>
      <c r="B10" s="11" t="n">
        <f aca="false">COUNTIF('Brazil Accounts Enriched'!O2:O45,"In Discussions")</f>
        <v>1</v>
      </c>
    </row>
    <row r="11" customFormat="false" ht="15" hidden="false" customHeight="false" outlineLevel="0" collapsed="false">
      <c r="A11" s="11" t="s">
        <v>69</v>
      </c>
      <c r="B11" s="11" t="n">
        <f aca="false">COUNTIF('Brazil Accounts Enriched'!O2:O45,"Disabled")</f>
        <v>4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2" t="s">
        <v>311</v>
      </c>
    </row>
    <row r="14" customFormat="false" ht="15" hidden="false" customHeight="false" outlineLevel="0" collapsed="false">
      <c r="A14" s="11" t="s">
        <v>26</v>
      </c>
      <c r="B14" s="11" t="n">
        <f aca="false">COUNTIF('Brazil Accounts Enriched'!G2:G45,"São Paulo")</f>
        <v>31</v>
      </c>
    </row>
    <row r="15" customFormat="false" ht="15" hidden="false" customHeight="false" outlineLevel="0" collapsed="false">
      <c r="A15" s="11" t="s">
        <v>102</v>
      </c>
      <c r="B15" s="11" t="n">
        <f aca="false">COUNTIF('Brazil Accounts Enriched'!G2:G45,"Rio de Janeiro")</f>
        <v>7</v>
      </c>
    </row>
    <row r="16" customFormat="false" ht="15" hidden="false" customHeight="false" outlineLevel="0" collapsed="false">
      <c r="A16" s="11" t="s">
        <v>65</v>
      </c>
      <c r="B16" s="11" t="n">
        <f aca="false">COUNTIF('Brazil Accounts Enriched'!G2:G45,"Brasília")</f>
        <v>4</v>
      </c>
    </row>
    <row r="17" customFormat="false" ht="15" hidden="false" customHeight="false" outlineLevel="0" collapsed="false">
      <c r="A17" s="11" t="s">
        <v>312</v>
      </c>
      <c r="B17" s="11" t="n">
        <f aca="false">COUNTIF('Brazil Accounts Enriched'!G2:G45,"Osasco")</f>
        <v>2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2" t="s">
        <v>313</v>
      </c>
    </row>
    <row r="20" customFormat="false" ht="15" hidden="false" customHeight="false" outlineLevel="0" collapsed="false">
      <c r="A20" s="11" t="s">
        <v>34</v>
      </c>
      <c r="B20" s="11" t="n">
        <f aca="false">COUNTIF('Brazil Accounts Enriched'!S2:S45,"High")</f>
        <v>33</v>
      </c>
    </row>
    <row r="21" customFormat="false" ht="15" hidden="false" customHeight="false" outlineLevel="0" collapsed="false">
      <c r="A21" s="11" t="s">
        <v>96</v>
      </c>
      <c r="B21" s="11" t="n">
        <f aca="false">COUNTIF('Brazil Accounts Enriched'!S2:S45,"Medium")</f>
        <v>9</v>
      </c>
    </row>
    <row r="22" customFormat="false" ht="15" hidden="false" customHeight="false" outlineLevel="0" collapsed="false">
      <c r="A22" s="11" t="s">
        <v>50</v>
      </c>
      <c r="B22" s="11" t="n">
        <f aca="false">COUNTIF('Brazil Accounts Enriched'!S2:S45,"Low")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2026-07-09T11:35:29Z</dcterms:created>
  <dc:creator>openpyxl</dc:creator>
  <dc:description/>
  <dc:language>en-US</dc:language>
  <cp:lastModifiedBy/>
  <dcterms:modified xsi:type="dcterms:W3CDTF">2026-07-09T11:35:29Z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